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artikmathur/Desktop/C++/JEE-RankPredictor/JAC/"/>
    </mc:Choice>
  </mc:AlternateContent>
  <xr:revisionPtr revIDLastSave="0" documentId="8_{854F0661-278D-F34D-91E1-B13FCF3C23D5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Cutoff Matrix" sheetId="1" r:id="rId1"/>
    <sheet name="Category Glossary" sheetId="2" r:id="rId2"/>
    <sheet name="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5" i="1" l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Formula-driven display column. If Round-2 closing rank is blank for a category/branch, this column shows the Round-1 closing rank instead.</t>
        </r>
      </text>
    </comment>
    <comment ref="K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Indicates whether Round-2 Display Rank came from Round-2 directly or from Round-1 as fallback.</t>
        </r>
      </text>
    </comment>
  </commentList>
</comments>
</file>

<file path=xl/sharedStrings.xml><?xml version="1.0" encoding="utf-8"?>
<sst xmlns="http://schemas.openxmlformats.org/spreadsheetml/2006/main" count="1154" uniqueCount="120">
  <si>
    <t>Category Code</t>
  </si>
  <si>
    <t>Category Full Form</t>
  </si>
  <si>
    <t>Reservation Group</t>
  </si>
  <si>
    <t>Subcategory</t>
  </si>
  <si>
    <t>Region</t>
  </si>
  <si>
    <t>Bonus Type</t>
  </si>
  <si>
    <t>Branch</t>
  </si>
  <si>
    <t>Round-1 JEE Closing Rank</t>
  </si>
  <si>
    <t>Round-2 JEE Closing Rank</t>
  </si>
  <si>
    <t>Round-2 Display Rank</t>
  </si>
  <si>
    <t>Round-2 Rank Source</t>
  </si>
  <si>
    <t>GNGND</t>
  </si>
  <si>
    <t>General | No Subcategory | Delhi Region</t>
  </si>
  <si>
    <t>General</t>
  </si>
  <si>
    <t>No Subcategory</t>
  </si>
  <si>
    <t>Delhi Region</t>
  </si>
  <si>
    <t>Without Bonus</t>
  </si>
  <si>
    <t>CSAM</t>
  </si>
  <si>
    <t>CSAI</t>
  </si>
  <si>
    <t>CSB</t>
  </si>
  <si>
    <t>CSD</t>
  </si>
  <si>
    <t>CSEcon</t>
  </si>
  <si>
    <t>CSE</t>
  </si>
  <si>
    <t>CSSS</t>
  </si>
  <si>
    <t>ECE</t>
  </si>
  <si>
    <t>EVE</t>
  </si>
  <si>
    <t>With Bonus</t>
  </si>
  <si>
    <t>GNGNO</t>
  </si>
  <si>
    <t>General | No Subcategory | Outside Delhi Region</t>
  </si>
  <si>
    <t>Outside Delhi Region</t>
  </si>
  <si>
    <t>GNCWD</t>
  </si>
  <si>
    <t>General | Defence | Delhi Region</t>
  </si>
  <si>
    <t>Defence</t>
  </si>
  <si>
    <t>GNPDD</t>
  </si>
  <si>
    <t>General | Persons with Disabilities | Delhi Region</t>
  </si>
  <si>
    <t>Persons with Disabilities</t>
  </si>
  <si>
    <t>GNKM</t>
  </si>
  <si>
    <t>General | Kashmiri Migrant</t>
  </si>
  <si>
    <t>Kashmiri Migrant</t>
  </si>
  <si>
    <t/>
  </si>
  <si>
    <t>OBGND</t>
  </si>
  <si>
    <t>OBC (Non-Creamy Layer) | No Subcategory | Delhi Region</t>
  </si>
  <si>
    <t>OBC (Non-Creamy Layer)</t>
  </si>
  <si>
    <t>OBGNO</t>
  </si>
  <si>
    <t>OBC (Non-Creamy Layer) | No Subcategory | Outside Delhi Region</t>
  </si>
  <si>
    <t>OBCWD</t>
  </si>
  <si>
    <t>OBC (Non-Creamy Layer) | Defence | Delhi Region</t>
  </si>
  <si>
    <t>EWGND</t>
  </si>
  <si>
    <t>EWS | No Subcategory | Delhi Region</t>
  </si>
  <si>
    <t>EWS</t>
  </si>
  <si>
    <t>EWGNO</t>
  </si>
  <si>
    <t>EWS | No Subcategory | Outside Delhi Region</t>
  </si>
  <si>
    <t>EWCWD</t>
  </si>
  <si>
    <t>EWS | Defence | Delhi Region</t>
  </si>
  <si>
    <t>EWPDD</t>
  </si>
  <si>
    <t>EWS | Persons with Disabilities | Delhi Region</t>
  </si>
  <si>
    <t>SCGND</t>
  </si>
  <si>
    <t>Scheduled Caste | No Subcategory | Delhi Region</t>
  </si>
  <si>
    <t>Scheduled Caste</t>
  </si>
  <si>
    <t>SCGNO</t>
  </si>
  <si>
    <t>Scheduled Caste | No Subcategory | Outside Delhi Region</t>
  </si>
  <si>
    <t>SCCWD</t>
  </si>
  <si>
    <t>Scheduled Caste | Defence | Delhi Region</t>
  </si>
  <si>
    <t>STGND</t>
  </si>
  <si>
    <t>Scheduled Tribe | No Subcategory | Delhi Region</t>
  </si>
  <si>
    <t>Scheduled Tribe</t>
  </si>
  <si>
    <t>STGNO</t>
  </si>
  <si>
    <t>Scheduled Tribe | No Subcategory | Outside Delhi Region</t>
  </si>
  <si>
    <t>STCWD</t>
  </si>
  <si>
    <t>Scheduled Tribe | Defence | Delhi Region</t>
  </si>
  <si>
    <t>STPDD</t>
  </si>
  <si>
    <t>Scheduled Tribe | Persons with Disabilities | Delhi Region</t>
  </si>
  <si>
    <t>Full Form</t>
  </si>
  <si>
    <t>Category Code Part</t>
  </si>
  <si>
    <t>Subcategory Code Part</t>
  </si>
  <si>
    <t>Region Code Part</t>
  </si>
  <si>
    <t>Meaning Summary</t>
  </si>
  <si>
    <t>GN</t>
  </si>
  <si>
    <t>D</t>
  </si>
  <si>
    <t>General; No Subcategory; Delhi Region</t>
  </si>
  <si>
    <t>O</t>
  </si>
  <si>
    <t>General; No Subcategory; Outside Delhi Region</t>
  </si>
  <si>
    <t>CW</t>
  </si>
  <si>
    <t>General; Defence; Delhi Region</t>
  </si>
  <si>
    <t>PD</t>
  </si>
  <si>
    <t>General; Persons with Disabilities; Delhi Region</t>
  </si>
  <si>
    <t>KM</t>
  </si>
  <si>
    <t>General; Kashmiri Migrant</t>
  </si>
  <si>
    <t>OB</t>
  </si>
  <si>
    <t>OBC (Non-Creamy Layer); No Subcategory; Delhi Region</t>
  </si>
  <si>
    <t>OBC (Non-Creamy Layer); No Subcategory; Outside Delhi Region</t>
  </si>
  <si>
    <t>OBC (Non-Creamy Layer); Defence; Delhi Region</t>
  </si>
  <si>
    <t>EW</t>
  </si>
  <si>
    <t>EWS; No Subcategory; Delhi Region</t>
  </si>
  <si>
    <t>EWS; No Subcategory; Outside Delhi Region</t>
  </si>
  <si>
    <t>EWS; Defence; Delhi Region</t>
  </si>
  <si>
    <t>EWS; Persons with Disabilities; Delhi Region</t>
  </si>
  <si>
    <t>SC</t>
  </si>
  <si>
    <t>Scheduled Caste; No Subcategory; Delhi Region</t>
  </si>
  <si>
    <t>Scheduled Caste; No Subcategory; Outside Delhi Region</t>
  </si>
  <si>
    <t>Scheduled Caste; Defence; Delhi Region</t>
  </si>
  <si>
    <t>ST</t>
  </si>
  <si>
    <t>Scheduled Tribe; No Subcategory; Delhi Region</t>
  </si>
  <si>
    <t>Scheduled Tribe; No Subcategory; Outside Delhi Region</t>
  </si>
  <si>
    <t>Scheduled Tribe; Defence; Delhi Region</t>
  </si>
  <si>
    <t>Scheduled Tribe; Persons with Disabilities; Delhi Region</t>
  </si>
  <si>
    <t>Source Type</t>
  </si>
  <si>
    <t>Description</t>
  </si>
  <si>
    <t>Reference</t>
  </si>
  <si>
    <t>PDF used</t>
  </si>
  <si>
    <t>Round-1 PDF uploaded by user</t>
  </si>
  <si>
    <t>Round-1.pdf</t>
  </si>
  <si>
    <t>Round-2 PDF uploaded by user</t>
  </si>
  <si>
    <t>Round-2.pdf</t>
  </si>
  <si>
    <t>Official glossary</t>
  </si>
  <si>
    <t>IIIT-Delhi official cut-offs page code format</t>
  </si>
  <si>
    <t>https://iiitd.ac.in/admission/btech/cut-offs</t>
  </si>
  <si>
    <t>Note</t>
  </si>
  <si>
    <t>Round-2 Display Rank uses Round-2 value when available, otherwise falls back to Round-1 value</t>
  </si>
  <si>
    <t xml:space="preserve">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</si>
</sst>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4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812800</xdr:colOff>
      <xdr:row>66</xdr:row>
      <xdr:rowOff>127000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53CB2B06-48DC-2675-2A87-0B948E9614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toffMatrixTable" displayName="CutoffMatrixTable" ref="A1:K145">
  <autoFilter ref="A1:K145" xr:uid="{00000000-0009-0000-0100-000001000000}"/>
  <tableColumns count="11">
    <tableColumn id="1" xr3:uid="{00000000-0010-0000-0000-000001000000}" name="Category "/>
    <tableColumn id="2" xr3:uid="{00000000-0010-0000-0000-000002000000}" name="Category Full Form"/>
    <tableColumn id="3" xr3:uid="{00000000-0010-0000-0000-000003000000}" name="Reservation Group"/>
    <tableColumn id="4" xr3:uid="{00000000-0010-0000-0000-000004000000}" name="Subcategory"/>
    <tableColumn id="5" xr3:uid="{00000000-0010-0000-0000-000005000000}" name="Region"/>
    <tableColumn id="6" xr3:uid="{00000000-0010-0000-0000-000006000000}" name="Bonus Type"/>
    <tableColumn id="7" xr3:uid="{00000000-0010-0000-0000-000007000000}" name="Branch"/>
    <tableColumn id="8" xr3:uid="{00000000-0010-0000-0000-000008000000}" name="Round-1 JEE Closing Rank"/>
    <tableColumn id="9" xr3:uid="{00000000-0010-0000-0000-000009000000}" name="Round-2 JEE Closing Rank"/>
    <tableColumn id="10" xr3:uid="{00000000-0010-0000-0000-00000A000000}" name="Round-2 Display Rank"/>
    <tableColumn id="11" xr3:uid="{00000000-0010-0000-0000-00000B000000}" name="Round-2 Rank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showGridLines="0" tabSelected="1" workbookViewId="0">
      <selection activeCell="A2" sqref="A2"/>
    </sheetView>
  </sheetViews>
  <sheetFormatPr baseColWidth="10" defaultColWidth="8.83203125" defaultRowHeight="15" x14ac:dyDescent="0.2"/>
  <cols>
    <col min="1" max="1" width="14" customWidth="1"/>
    <col min="2" max="2" width="46" customWidth="1"/>
    <col min="3" max="3" width="24" customWidth="1"/>
    <col min="4" max="4" width="26" customWidth="1"/>
    <col min="5" max="5" width="20" customWidth="1"/>
    <col min="6" max="6" width="16" customWidth="1"/>
    <col min="7" max="7" width="10" customWidth="1"/>
    <col min="8" max="9" width="22" customWidth="1"/>
    <col min="10" max="10" width="20" customWidth="1"/>
    <col min="11" max="11" width="22" customWidth="1"/>
  </cols>
  <sheetData>
    <row r="1" spans="1:11" x14ac:dyDescent="0.2">
      <c r="A1" s="1" t="s">
        <v>119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7441</v>
      </c>
      <c r="I2" s="3">
        <v>9923</v>
      </c>
      <c r="J2" s="4">
        <f t="shared" ref="J2:J33" si="0">IF(I2&lt;&gt;"",I2,H2)</f>
        <v>9923</v>
      </c>
      <c r="K2" s="5" t="str">
        <f t="shared" ref="K2:K33" si="1">IF(I2&lt;&gt;"","Round-2 PDF","Fallback to Round-1 PDF")</f>
        <v>Round-2 PDF</v>
      </c>
    </row>
    <row r="3" spans="1:1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18</v>
      </c>
      <c r="H3" s="3">
        <v>2699</v>
      </c>
      <c r="I3" s="3">
        <v>29567</v>
      </c>
      <c r="J3" s="4">
        <f t="shared" si="0"/>
        <v>29567</v>
      </c>
      <c r="K3" s="5" t="str">
        <f t="shared" si="1"/>
        <v>Round-2 PDF</v>
      </c>
    </row>
    <row r="4" spans="1:1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19</v>
      </c>
      <c r="H4" s="3">
        <v>16098</v>
      </c>
      <c r="I4" s="3">
        <v>29428</v>
      </c>
      <c r="J4" s="4">
        <f t="shared" si="0"/>
        <v>29428</v>
      </c>
      <c r="K4" s="5" t="str">
        <f t="shared" si="1"/>
        <v>Round-2 PDF</v>
      </c>
    </row>
    <row r="5" spans="1:11" x14ac:dyDescent="0.2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20</v>
      </c>
      <c r="H5" s="3">
        <v>9594</v>
      </c>
      <c r="I5" s="3">
        <v>25837</v>
      </c>
      <c r="J5" s="4">
        <f t="shared" si="0"/>
        <v>25837</v>
      </c>
      <c r="K5" s="5" t="str">
        <f t="shared" si="1"/>
        <v>Round-2 PDF</v>
      </c>
    </row>
    <row r="6" spans="1:11" x14ac:dyDescent="0.2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21</v>
      </c>
      <c r="H6" s="3">
        <v>7429</v>
      </c>
      <c r="I6" s="3">
        <v>10658</v>
      </c>
      <c r="J6" s="4">
        <f t="shared" si="0"/>
        <v>10658</v>
      </c>
      <c r="K6" s="5" t="str">
        <f t="shared" si="1"/>
        <v>Round-2 PDF</v>
      </c>
    </row>
    <row r="7" spans="1:11" x14ac:dyDescent="0.2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22</v>
      </c>
      <c r="H7" s="3">
        <v>4351</v>
      </c>
      <c r="I7" s="3">
        <v>20194</v>
      </c>
      <c r="J7" s="4">
        <f t="shared" si="0"/>
        <v>20194</v>
      </c>
      <c r="K7" s="5" t="str">
        <f t="shared" si="1"/>
        <v>Round-2 PDF</v>
      </c>
    </row>
    <row r="8" spans="1:11" x14ac:dyDescent="0.2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23</v>
      </c>
      <c r="H8" s="3">
        <v>13365</v>
      </c>
      <c r="I8" s="3">
        <v>31355</v>
      </c>
      <c r="J8" s="4">
        <f t="shared" si="0"/>
        <v>31355</v>
      </c>
      <c r="K8" s="5" t="str">
        <f t="shared" si="1"/>
        <v>Round-2 PDF</v>
      </c>
    </row>
    <row r="9" spans="1:11" x14ac:dyDescent="0.2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24</v>
      </c>
      <c r="H9" s="3">
        <v>16960</v>
      </c>
      <c r="I9" s="3">
        <v>20168</v>
      </c>
      <c r="J9" s="4">
        <f t="shared" si="0"/>
        <v>20168</v>
      </c>
      <c r="K9" s="5" t="str">
        <f t="shared" si="1"/>
        <v>Round-2 PDF</v>
      </c>
    </row>
    <row r="10" spans="1:11" x14ac:dyDescent="0.2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25</v>
      </c>
      <c r="H10" s="3">
        <v>20531</v>
      </c>
      <c r="I10" s="3">
        <v>22051</v>
      </c>
      <c r="J10" s="4">
        <f t="shared" si="0"/>
        <v>22051</v>
      </c>
      <c r="K10" s="5" t="str">
        <f t="shared" si="1"/>
        <v>Round-2 PDF</v>
      </c>
    </row>
    <row r="11" spans="1:11" x14ac:dyDescent="0.2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26</v>
      </c>
      <c r="G11" s="2" t="s">
        <v>17</v>
      </c>
      <c r="H11" s="3">
        <v>20194</v>
      </c>
      <c r="I11" s="3">
        <v>23962</v>
      </c>
      <c r="J11" s="4">
        <f t="shared" si="0"/>
        <v>23962</v>
      </c>
      <c r="K11" s="5" t="str">
        <f t="shared" si="1"/>
        <v>Round-2 PDF</v>
      </c>
    </row>
    <row r="12" spans="1:11" x14ac:dyDescent="0.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26</v>
      </c>
      <c r="G12" s="2" t="s">
        <v>18</v>
      </c>
      <c r="H12" s="3">
        <v>29567</v>
      </c>
      <c r="I12" s="3"/>
      <c r="J12" s="6">
        <f t="shared" si="0"/>
        <v>29567</v>
      </c>
      <c r="K12" s="5" t="str">
        <f t="shared" si="1"/>
        <v>Fallback to Round-1 PDF</v>
      </c>
    </row>
    <row r="13" spans="1:11" x14ac:dyDescent="0.2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26</v>
      </c>
      <c r="G13" s="2" t="s">
        <v>22</v>
      </c>
      <c r="H13" s="3">
        <v>19158</v>
      </c>
      <c r="I13" s="3"/>
      <c r="J13" s="6">
        <f t="shared" si="0"/>
        <v>19158</v>
      </c>
      <c r="K13" s="5" t="str">
        <f t="shared" si="1"/>
        <v>Fallback to Round-1 PDF</v>
      </c>
    </row>
    <row r="14" spans="1:11" x14ac:dyDescent="0.2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26</v>
      </c>
      <c r="G14" s="2" t="s">
        <v>24</v>
      </c>
      <c r="H14" s="3">
        <v>31355</v>
      </c>
      <c r="I14" s="3"/>
      <c r="J14" s="6">
        <f t="shared" si="0"/>
        <v>31355</v>
      </c>
      <c r="K14" s="5" t="str">
        <f t="shared" si="1"/>
        <v>Fallback to Round-1 PDF</v>
      </c>
    </row>
    <row r="15" spans="1:11" x14ac:dyDescent="0.2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26</v>
      </c>
      <c r="G15" s="2" t="s">
        <v>25</v>
      </c>
      <c r="H15" s="3">
        <v>8096</v>
      </c>
      <c r="I15" s="3"/>
      <c r="J15" s="6">
        <f t="shared" si="0"/>
        <v>8096</v>
      </c>
      <c r="K15" s="5" t="str">
        <f t="shared" si="1"/>
        <v>Fallback to Round-1 PDF</v>
      </c>
    </row>
    <row r="16" spans="1:11" x14ac:dyDescent="0.2">
      <c r="A16" s="2" t="s">
        <v>27</v>
      </c>
      <c r="B16" s="2" t="s">
        <v>28</v>
      </c>
      <c r="C16" s="2" t="s">
        <v>13</v>
      </c>
      <c r="D16" s="2" t="s">
        <v>14</v>
      </c>
      <c r="E16" s="2" t="s">
        <v>29</v>
      </c>
      <c r="F16" s="2" t="s">
        <v>16</v>
      </c>
      <c r="G16" s="2" t="s">
        <v>17</v>
      </c>
      <c r="H16" s="3">
        <v>2288</v>
      </c>
      <c r="I16" s="3">
        <v>3898</v>
      </c>
      <c r="J16" s="4">
        <f t="shared" si="0"/>
        <v>3898</v>
      </c>
      <c r="K16" s="5" t="str">
        <f t="shared" si="1"/>
        <v>Round-2 PDF</v>
      </c>
    </row>
    <row r="17" spans="1:11" x14ac:dyDescent="0.2">
      <c r="A17" s="2" t="s">
        <v>27</v>
      </c>
      <c r="B17" s="2" t="s">
        <v>28</v>
      </c>
      <c r="C17" s="2" t="s">
        <v>13</v>
      </c>
      <c r="D17" s="2" t="s">
        <v>14</v>
      </c>
      <c r="E17" s="2" t="s">
        <v>29</v>
      </c>
      <c r="F17" s="2" t="s">
        <v>16</v>
      </c>
      <c r="G17" s="2" t="s">
        <v>18</v>
      </c>
      <c r="H17" s="3">
        <v>1675</v>
      </c>
      <c r="I17" s="3">
        <v>17061</v>
      </c>
      <c r="J17" s="4">
        <f t="shared" si="0"/>
        <v>17061</v>
      </c>
      <c r="K17" s="5" t="str">
        <f t="shared" si="1"/>
        <v>Round-2 PDF</v>
      </c>
    </row>
    <row r="18" spans="1:11" x14ac:dyDescent="0.2">
      <c r="A18" s="2" t="s">
        <v>27</v>
      </c>
      <c r="B18" s="2" t="s">
        <v>28</v>
      </c>
      <c r="C18" s="2" t="s">
        <v>13</v>
      </c>
      <c r="D18" s="2" t="s">
        <v>14</v>
      </c>
      <c r="E18" s="2" t="s">
        <v>29</v>
      </c>
      <c r="F18" s="2" t="s">
        <v>16</v>
      </c>
      <c r="G18" s="2" t="s">
        <v>19</v>
      </c>
      <c r="H18" s="3">
        <v>5717</v>
      </c>
      <c r="I18" s="3">
        <v>7638</v>
      </c>
      <c r="J18" s="4">
        <f t="shared" si="0"/>
        <v>7638</v>
      </c>
      <c r="K18" s="5" t="str">
        <f t="shared" si="1"/>
        <v>Round-2 PDF</v>
      </c>
    </row>
    <row r="19" spans="1:11" x14ac:dyDescent="0.2">
      <c r="A19" s="2" t="s">
        <v>27</v>
      </c>
      <c r="B19" s="2" t="s">
        <v>28</v>
      </c>
      <c r="C19" s="2" t="s">
        <v>13</v>
      </c>
      <c r="D19" s="2" t="s">
        <v>14</v>
      </c>
      <c r="E19" s="2" t="s">
        <v>29</v>
      </c>
      <c r="F19" s="2" t="s">
        <v>16</v>
      </c>
      <c r="G19" s="2" t="s">
        <v>20</v>
      </c>
      <c r="H19" s="3">
        <v>3898</v>
      </c>
      <c r="I19" s="3">
        <v>19934</v>
      </c>
      <c r="J19" s="4">
        <f t="shared" si="0"/>
        <v>19934</v>
      </c>
      <c r="K19" s="5" t="str">
        <f t="shared" si="1"/>
        <v>Round-2 PDF</v>
      </c>
    </row>
    <row r="20" spans="1:11" x14ac:dyDescent="0.2">
      <c r="A20" s="2" t="s">
        <v>27</v>
      </c>
      <c r="B20" s="2" t="s">
        <v>28</v>
      </c>
      <c r="C20" s="2" t="s">
        <v>13</v>
      </c>
      <c r="D20" s="2" t="s">
        <v>14</v>
      </c>
      <c r="E20" s="2" t="s">
        <v>29</v>
      </c>
      <c r="F20" s="2" t="s">
        <v>16</v>
      </c>
      <c r="G20" s="2" t="s">
        <v>21</v>
      </c>
      <c r="H20" s="3">
        <v>4855</v>
      </c>
      <c r="I20" s="3">
        <v>5623</v>
      </c>
      <c r="J20" s="4">
        <f t="shared" si="0"/>
        <v>5623</v>
      </c>
      <c r="K20" s="5" t="str">
        <f t="shared" si="1"/>
        <v>Round-2 PDF</v>
      </c>
    </row>
    <row r="21" spans="1:11" x14ac:dyDescent="0.2">
      <c r="A21" s="2" t="s">
        <v>27</v>
      </c>
      <c r="B21" s="2" t="s">
        <v>28</v>
      </c>
      <c r="C21" s="2" t="s">
        <v>13</v>
      </c>
      <c r="D21" s="2" t="s">
        <v>14</v>
      </c>
      <c r="E21" s="2" t="s">
        <v>29</v>
      </c>
      <c r="F21" s="2" t="s">
        <v>16</v>
      </c>
      <c r="G21" s="2" t="s">
        <v>22</v>
      </c>
      <c r="H21" s="3">
        <v>1243</v>
      </c>
      <c r="I21" s="3">
        <v>17553</v>
      </c>
      <c r="J21" s="4">
        <f t="shared" si="0"/>
        <v>17553</v>
      </c>
      <c r="K21" s="5" t="str">
        <f t="shared" si="1"/>
        <v>Round-2 PDF</v>
      </c>
    </row>
    <row r="22" spans="1:11" x14ac:dyDescent="0.2">
      <c r="A22" s="2" t="s">
        <v>27</v>
      </c>
      <c r="B22" s="2" t="s">
        <v>28</v>
      </c>
      <c r="C22" s="2" t="s">
        <v>13</v>
      </c>
      <c r="D22" s="2" t="s">
        <v>14</v>
      </c>
      <c r="E22" s="2" t="s">
        <v>29</v>
      </c>
      <c r="F22" s="2" t="s">
        <v>16</v>
      </c>
      <c r="G22" s="2" t="s">
        <v>23</v>
      </c>
      <c r="H22" s="3">
        <v>5397</v>
      </c>
      <c r="I22" s="3">
        <v>7456</v>
      </c>
      <c r="J22" s="4">
        <f t="shared" si="0"/>
        <v>7456</v>
      </c>
      <c r="K22" s="5" t="str">
        <f t="shared" si="1"/>
        <v>Round-2 PDF</v>
      </c>
    </row>
    <row r="23" spans="1:11" x14ac:dyDescent="0.2">
      <c r="A23" s="2" t="s">
        <v>27</v>
      </c>
      <c r="B23" s="2" t="s">
        <v>28</v>
      </c>
      <c r="C23" s="2" t="s">
        <v>13</v>
      </c>
      <c r="D23" s="2" t="s">
        <v>14</v>
      </c>
      <c r="E23" s="2" t="s">
        <v>29</v>
      </c>
      <c r="F23" s="2" t="s">
        <v>16</v>
      </c>
      <c r="G23" s="2" t="s">
        <v>24</v>
      </c>
      <c r="H23" s="3">
        <v>3250</v>
      </c>
      <c r="I23" s="3">
        <v>5169</v>
      </c>
      <c r="J23" s="4">
        <f t="shared" si="0"/>
        <v>5169</v>
      </c>
      <c r="K23" s="5" t="str">
        <f t="shared" si="1"/>
        <v>Round-2 PDF</v>
      </c>
    </row>
    <row r="24" spans="1:11" x14ac:dyDescent="0.2">
      <c r="A24" s="2" t="s">
        <v>27</v>
      </c>
      <c r="B24" s="2" t="s">
        <v>28</v>
      </c>
      <c r="C24" s="2" t="s">
        <v>13</v>
      </c>
      <c r="D24" s="2" t="s">
        <v>14</v>
      </c>
      <c r="E24" s="2" t="s">
        <v>29</v>
      </c>
      <c r="F24" s="2" t="s">
        <v>16</v>
      </c>
      <c r="G24" s="2" t="s">
        <v>25</v>
      </c>
      <c r="H24" s="3">
        <v>5979</v>
      </c>
      <c r="I24" s="3">
        <v>7470</v>
      </c>
      <c r="J24" s="4">
        <f t="shared" si="0"/>
        <v>7470</v>
      </c>
      <c r="K24" s="5" t="str">
        <f t="shared" si="1"/>
        <v>Round-2 PDF</v>
      </c>
    </row>
    <row r="25" spans="1:11" x14ac:dyDescent="0.2">
      <c r="A25" s="2" t="s">
        <v>27</v>
      </c>
      <c r="B25" s="2" t="s">
        <v>28</v>
      </c>
      <c r="C25" s="2" t="s">
        <v>13</v>
      </c>
      <c r="D25" s="2" t="s">
        <v>14</v>
      </c>
      <c r="E25" s="2" t="s">
        <v>29</v>
      </c>
      <c r="F25" s="2" t="s">
        <v>26</v>
      </c>
      <c r="G25" s="2" t="s">
        <v>17</v>
      </c>
      <c r="H25" s="3">
        <v>17553</v>
      </c>
      <c r="I25" s="3"/>
      <c r="J25" s="6">
        <f t="shared" si="0"/>
        <v>17553</v>
      </c>
      <c r="K25" s="5" t="str">
        <f t="shared" si="1"/>
        <v>Fallback to Round-1 PDF</v>
      </c>
    </row>
    <row r="26" spans="1:11" x14ac:dyDescent="0.2">
      <c r="A26" s="2" t="s">
        <v>27</v>
      </c>
      <c r="B26" s="2" t="s">
        <v>28</v>
      </c>
      <c r="C26" s="2" t="s">
        <v>13</v>
      </c>
      <c r="D26" s="2" t="s">
        <v>14</v>
      </c>
      <c r="E26" s="2" t="s">
        <v>29</v>
      </c>
      <c r="F26" s="2" t="s">
        <v>26</v>
      </c>
      <c r="G26" s="2" t="s">
        <v>18</v>
      </c>
      <c r="H26" s="3">
        <v>15670</v>
      </c>
      <c r="I26" s="3"/>
      <c r="J26" s="6">
        <f t="shared" si="0"/>
        <v>15670</v>
      </c>
      <c r="K26" s="5" t="str">
        <f t="shared" si="1"/>
        <v>Fallback to Round-1 PDF</v>
      </c>
    </row>
    <row r="27" spans="1:11" x14ac:dyDescent="0.2">
      <c r="A27" s="2" t="s">
        <v>27</v>
      </c>
      <c r="B27" s="2" t="s">
        <v>28</v>
      </c>
      <c r="C27" s="2" t="s">
        <v>13</v>
      </c>
      <c r="D27" s="2" t="s">
        <v>14</v>
      </c>
      <c r="E27" s="2" t="s">
        <v>29</v>
      </c>
      <c r="F27" s="2" t="s">
        <v>26</v>
      </c>
      <c r="G27" s="2" t="s">
        <v>21</v>
      </c>
      <c r="H27" s="3">
        <v>19934</v>
      </c>
      <c r="I27" s="3">
        <v>21313</v>
      </c>
      <c r="J27" s="4">
        <f t="shared" si="0"/>
        <v>21313</v>
      </c>
      <c r="K27" s="5" t="str">
        <f t="shared" si="1"/>
        <v>Round-2 PDF</v>
      </c>
    </row>
    <row r="28" spans="1:11" x14ac:dyDescent="0.2">
      <c r="A28" s="2" t="s">
        <v>27</v>
      </c>
      <c r="B28" s="2" t="s">
        <v>28</v>
      </c>
      <c r="C28" s="2" t="s">
        <v>13</v>
      </c>
      <c r="D28" s="2" t="s">
        <v>14</v>
      </c>
      <c r="E28" s="2" t="s">
        <v>29</v>
      </c>
      <c r="F28" s="2" t="s">
        <v>26</v>
      </c>
      <c r="G28" s="2" t="s">
        <v>22</v>
      </c>
      <c r="H28" s="3">
        <v>8171</v>
      </c>
      <c r="I28" s="3"/>
      <c r="J28" s="6">
        <f t="shared" si="0"/>
        <v>8171</v>
      </c>
      <c r="K28" s="5" t="str">
        <f t="shared" si="1"/>
        <v>Fallback to Round-1 PDF</v>
      </c>
    </row>
    <row r="29" spans="1:11" x14ac:dyDescent="0.2">
      <c r="A29" s="2" t="s">
        <v>27</v>
      </c>
      <c r="B29" s="2" t="s">
        <v>28</v>
      </c>
      <c r="C29" s="2" t="s">
        <v>13</v>
      </c>
      <c r="D29" s="2" t="s">
        <v>14</v>
      </c>
      <c r="E29" s="2" t="s">
        <v>29</v>
      </c>
      <c r="F29" s="2" t="s">
        <v>26</v>
      </c>
      <c r="G29" s="2" t="s">
        <v>24</v>
      </c>
      <c r="H29" s="3"/>
      <c r="I29" s="3">
        <v>14623</v>
      </c>
      <c r="J29" s="4">
        <f t="shared" si="0"/>
        <v>14623</v>
      </c>
      <c r="K29" s="5" t="str">
        <f t="shared" si="1"/>
        <v>Round-2 PDF</v>
      </c>
    </row>
    <row r="30" spans="1:11" x14ac:dyDescent="0.2">
      <c r="A30" s="2" t="s">
        <v>30</v>
      </c>
      <c r="B30" s="2" t="s">
        <v>31</v>
      </c>
      <c r="C30" s="2" t="s">
        <v>13</v>
      </c>
      <c r="D30" s="2" t="s">
        <v>32</v>
      </c>
      <c r="E30" s="2" t="s">
        <v>15</v>
      </c>
      <c r="F30" s="2" t="s">
        <v>16</v>
      </c>
      <c r="G30" s="2" t="s">
        <v>17</v>
      </c>
      <c r="H30" s="3">
        <v>90071</v>
      </c>
      <c r="I30" s="3">
        <v>90071</v>
      </c>
      <c r="J30" s="4">
        <f t="shared" si="0"/>
        <v>90071</v>
      </c>
      <c r="K30" s="5" t="str">
        <f t="shared" si="1"/>
        <v>Round-2 PDF</v>
      </c>
    </row>
    <row r="31" spans="1:11" x14ac:dyDescent="0.2">
      <c r="A31" s="2" t="s">
        <v>30</v>
      </c>
      <c r="B31" s="2" t="s">
        <v>31</v>
      </c>
      <c r="C31" s="2" t="s">
        <v>13</v>
      </c>
      <c r="D31" s="2" t="s">
        <v>32</v>
      </c>
      <c r="E31" s="2" t="s">
        <v>15</v>
      </c>
      <c r="F31" s="2" t="s">
        <v>16</v>
      </c>
      <c r="G31" s="2" t="s">
        <v>18</v>
      </c>
      <c r="H31" s="3">
        <v>20334</v>
      </c>
      <c r="I31" s="3">
        <v>20334</v>
      </c>
      <c r="J31" s="4">
        <f t="shared" si="0"/>
        <v>20334</v>
      </c>
      <c r="K31" s="5" t="str">
        <f t="shared" si="1"/>
        <v>Round-2 PDF</v>
      </c>
    </row>
    <row r="32" spans="1:11" x14ac:dyDescent="0.2">
      <c r="A32" s="2" t="s">
        <v>30</v>
      </c>
      <c r="B32" s="2" t="s">
        <v>31</v>
      </c>
      <c r="C32" s="2" t="s">
        <v>13</v>
      </c>
      <c r="D32" s="2" t="s">
        <v>32</v>
      </c>
      <c r="E32" s="2" t="s">
        <v>15</v>
      </c>
      <c r="F32" s="2" t="s">
        <v>16</v>
      </c>
      <c r="G32" s="2" t="s">
        <v>19</v>
      </c>
      <c r="H32" s="3">
        <v>41403</v>
      </c>
      <c r="I32" s="3">
        <v>41403</v>
      </c>
      <c r="J32" s="4">
        <f t="shared" si="0"/>
        <v>41403</v>
      </c>
      <c r="K32" s="5" t="str">
        <f t="shared" si="1"/>
        <v>Round-2 PDF</v>
      </c>
    </row>
    <row r="33" spans="1:11" x14ac:dyDescent="0.2">
      <c r="A33" s="2" t="s">
        <v>30</v>
      </c>
      <c r="B33" s="2" t="s">
        <v>31</v>
      </c>
      <c r="C33" s="2" t="s">
        <v>13</v>
      </c>
      <c r="D33" s="2" t="s">
        <v>32</v>
      </c>
      <c r="E33" s="2" t="s">
        <v>15</v>
      </c>
      <c r="F33" s="2" t="s">
        <v>16</v>
      </c>
      <c r="G33" s="2" t="s">
        <v>20</v>
      </c>
      <c r="H33" s="3">
        <v>853884</v>
      </c>
      <c r="I33" s="3">
        <v>853884</v>
      </c>
      <c r="J33" s="4">
        <f t="shared" si="0"/>
        <v>853884</v>
      </c>
      <c r="K33" s="5" t="str">
        <f t="shared" si="1"/>
        <v>Round-2 PDF</v>
      </c>
    </row>
    <row r="34" spans="1:11" x14ac:dyDescent="0.2">
      <c r="A34" s="2" t="s">
        <v>30</v>
      </c>
      <c r="B34" s="2" t="s">
        <v>31</v>
      </c>
      <c r="C34" s="2" t="s">
        <v>13</v>
      </c>
      <c r="D34" s="2" t="s">
        <v>32</v>
      </c>
      <c r="E34" s="2" t="s">
        <v>15</v>
      </c>
      <c r="F34" s="2" t="s">
        <v>16</v>
      </c>
      <c r="G34" s="2" t="s">
        <v>21</v>
      </c>
      <c r="H34" s="3">
        <v>18459</v>
      </c>
      <c r="I34" s="3">
        <v>18459</v>
      </c>
      <c r="J34" s="4">
        <f t="shared" ref="J34:J65" si="2">IF(I34&lt;&gt;"",I34,H34)</f>
        <v>18459</v>
      </c>
      <c r="K34" s="5" t="str">
        <f t="shared" ref="K34:K65" si="3">IF(I34&lt;&gt;"","Round-2 PDF","Fallback to Round-1 PDF")</f>
        <v>Round-2 PDF</v>
      </c>
    </row>
    <row r="35" spans="1:11" x14ac:dyDescent="0.2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15</v>
      </c>
      <c r="F35" s="2" t="s">
        <v>16</v>
      </c>
      <c r="G35" s="2" t="s">
        <v>22</v>
      </c>
      <c r="H35" s="3">
        <v>137744</v>
      </c>
      <c r="I35" s="3">
        <v>137744</v>
      </c>
      <c r="J35" s="4">
        <f t="shared" si="2"/>
        <v>137744</v>
      </c>
      <c r="K35" s="5" t="str">
        <f t="shared" si="3"/>
        <v>Round-2 PDF</v>
      </c>
    </row>
    <row r="36" spans="1:11" x14ac:dyDescent="0.2">
      <c r="A36" s="2" t="s">
        <v>30</v>
      </c>
      <c r="B36" s="2" t="s">
        <v>31</v>
      </c>
      <c r="C36" s="2" t="s">
        <v>13</v>
      </c>
      <c r="D36" s="2" t="s">
        <v>32</v>
      </c>
      <c r="E36" s="2" t="s">
        <v>15</v>
      </c>
      <c r="F36" s="2" t="s">
        <v>16</v>
      </c>
      <c r="G36" s="2" t="s">
        <v>23</v>
      </c>
      <c r="H36" s="3">
        <v>42336</v>
      </c>
      <c r="I36" s="3">
        <v>42336</v>
      </c>
      <c r="J36" s="4">
        <f t="shared" si="2"/>
        <v>42336</v>
      </c>
      <c r="K36" s="5" t="str">
        <f t="shared" si="3"/>
        <v>Round-2 PDF</v>
      </c>
    </row>
    <row r="37" spans="1:11" x14ac:dyDescent="0.2">
      <c r="A37" s="2" t="s">
        <v>30</v>
      </c>
      <c r="B37" s="2" t="s">
        <v>31</v>
      </c>
      <c r="C37" s="2" t="s">
        <v>13</v>
      </c>
      <c r="D37" s="2" t="s">
        <v>32</v>
      </c>
      <c r="E37" s="2" t="s">
        <v>15</v>
      </c>
      <c r="F37" s="2" t="s">
        <v>16</v>
      </c>
      <c r="G37" s="2" t="s">
        <v>24</v>
      </c>
      <c r="H37" s="3">
        <v>24086</v>
      </c>
      <c r="I37" s="3">
        <v>43176</v>
      </c>
      <c r="J37" s="4">
        <f t="shared" si="2"/>
        <v>43176</v>
      </c>
      <c r="K37" s="5" t="str">
        <f t="shared" si="3"/>
        <v>Round-2 PDF</v>
      </c>
    </row>
    <row r="38" spans="1:11" x14ac:dyDescent="0.2">
      <c r="A38" s="2" t="s">
        <v>30</v>
      </c>
      <c r="B38" s="2" t="s">
        <v>31</v>
      </c>
      <c r="C38" s="2" t="s">
        <v>13</v>
      </c>
      <c r="D38" s="2" t="s">
        <v>32</v>
      </c>
      <c r="E38" s="2" t="s">
        <v>15</v>
      </c>
      <c r="F38" s="2" t="s">
        <v>16</v>
      </c>
      <c r="G38" s="2" t="s">
        <v>25</v>
      </c>
      <c r="H38" s="3">
        <v>43176</v>
      </c>
      <c r="I38" s="3">
        <v>47917</v>
      </c>
      <c r="J38" s="4">
        <f t="shared" si="2"/>
        <v>47917</v>
      </c>
      <c r="K38" s="5" t="str">
        <f t="shared" si="3"/>
        <v>Round-2 PDF</v>
      </c>
    </row>
    <row r="39" spans="1:11" x14ac:dyDescent="0.2">
      <c r="A39" s="2" t="s">
        <v>33</v>
      </c>
      <c r="B39" s="2" t="s">
        <v>34</v>
      </c>
      <c r="C39" s="2" t="s">
        <v>13</v>
      </c>
      <c r="D39" s="2" t="s">
        <v>35</v>
      </c>
      <c r="E39" s="2" t="s">
        <v>15</v>
      </c>
      <c r="F39" s="2" t="s">
        <v>16</v>
      </c>
      <c r="G39" s="2" t="s">
        <v>17</v>
      </c>
      <c r="H39" s="3">
        <v>191678</v>
      </c>
      <c r="I39" s="3">
        <v>191678</v>
      </c>
      <c r="J39" s="4">
        <f t="shared" si="2"/>
        <v>191678</v>
      </c>
      <c r="K39" s="5" t="str">
        <f t="shared" si="3"/>
        <v>Round-2 PDF</v>
      </c>
    </row>
    <row r="40" spans="1:11" x14ac:dyDescent="0.2">
      <c r="A40" s="2" t="s">
        <v>33</v>
      </c>
      <c r="B40" s="2" t="s">
        <v>34</v>
      </c>
      <c r="C40" s="2" t="s">
        <v>13</v>
      </c>
      <c r="D40" s="2" t="s">
        <v>35</v>
      </c>
      <c r="E40" s="2" t="s">
        <v>15</v>
      </c>
      <c r="F40" s="2" t="s">
        <v>16</v>
      </c>
      <c r="G40" s="2" t="s">
        <v>18</v>
      </c>
      <c r="H40" s="3">
        <v>21984</v>
      </c>
      <c r="I40" s="3">
        <v>21984</v>
      </c>
      <c r="J40" s="4">
        <f t="shared" si="2"/>
        <v>21984</v>
      </c>
      <c r="K40" s="5" t="str">
        <f t="shared" si="3"/>
        <v>Round-2 PDF</v>
      </c>
    </row>
    <row r="41" spans="1:11" x14ac:dyDescent="0.2">
      <c r="A41" s="2" t="s">
        <v>33</v>
      </c>
      <c r="B41" s="2" t="s">
        <v>34</v>
      </c>
      <c r="C41" s="2" t="s">
        <v>13</v>
      </c>
      <c r="D41" s="2" t="s">
        <v>35</v>
      </c>
      <c r="E41" s="2" t="s">
        <v>15</v>
      </c>
      <c r="F41" s="2" t="s">
        <v>16</v>
      </c>
      <c r="G41" s="2" t="s">
        <v>19</v>
      </c>
      <c r="H41" s="3">
        <v>346638</v>
      </c>
      <c r="I41" s="3">
        <v>346638</v>
      </c>
      <c r="J41" s="4">
        <f t="shared" si="2"/>
        <v>346638</v>
      </c>
      <c r="K41" s="5" t="str">
        <f t="shared" si="3"/>
        <v>Round-2 PDF</v>
      </c>
    </row>
    <row r="42" spans="1:11" x14ac:dyDescent="0.2">
      <c r="A42" s="2" t="s">
        <v>33</v>
      </c>
      <c r="B42" s="2" t="s">
        <v>34</v>
      </c>
      <c r="C42" s="2" t="s">
        <v>13</v>
      </c>
      <c r="D42" s="2" t="s">
        <v>35</v>
      </c>
      <c r="E42" s="2" t="s">
        <v>15</v>
      </c>
      <c r="F42" s="2" t="s">
        <v>16</v>
      </c>
      <c r="G42" s="2" t="s">
        <v>20</v>
      </c>
      <c r="H42" s="3">
        <v>364582</v>
      </c>
      <c r="I42" s="3">
        <v>373932</v>
      </c>
      <c r="J42" s="4">
        <f t="shared" si="2"/>
        <v>373932</v>
      </c>
      <c r="K42" s="5" t="str">
        <f t="shared" si="3"/>
        <v>Round-2 PDF</v>
      </c>
    </row>
    <row r="43" spans="1:11" x14ac:dyDescent="0.2">
      <c r="A43" s="2" t="s">
        <v>33</v>
      </c>
      <c r="B43" s="2" t="s">
        <v>34</v>
      </c>
      <c r="C43" s="2" t="s">
        <v>13</v>
      </c>
      <c r="D43" s="2" t="s">
        <v>35</v>
      </c>
      <c r="E43" s="2" t="s">
        <v>15</v>
      </c>
      <c r="F43" s="2" t="s">
        <v>16</v>
      </c>
      <c r="G43" s="2" t="s">
        <v>21</v>
      </c>
      <c r="H43" s="3">
        <v>373932</v>
      </c>
      <c r="I43" s="3">
        <v>438997</v>
      </c>
      <c r="J43" s="4">
        <f t="shared" si="2"/>
        <v>438997</v>
      </c>
      <c r="K43" s="5" t="str">
        <f t="shared" si="3"/>
        <v>Round-2 PDF</v>
      </c>
    </row>
    <row r="44" spans="1:11" x14ac:dyDescent="0.2">
      <c r="A44" s="2" t="s">
        <v>33</v>
      </c>
      <c r="B44" s="2" t="s">
        <v>34</v>
      </c>
      <c r="C44" s="2" t="s">
        <v>13</v>
      </c>
      <c r="D44" s="2" t="s">
        <v>35</v>
      </c>
      <c r="E44" s="2" t="s">
        <v>15</v>
      </c>
      <c r="F44" s="2" t="s">
        <v>16</v>
      </c>
      <c r="G44" s="2" t="s">
        <v>22</v>
      </c>
      <c r="H44" s="3">
        <v>164943</v>
      </c>
      <c r="I44" s="3">
        <v>164943</v>
      </c>
      <c r="J44" s="4">
        <f t="shared" si="2"/>
        <v>164943</v>
      </c>
      <c r="K44" s="5" t="str">
        <f t="shared" si="3"/>
        <v>Round-2 PDF</v>
      </c>
    </row>
    <row r="45" spans="1:11" x14ac:dyDescent="0.2">
      <c r="A45" s="2" t="s">
        <v>33</v>
      </c>
      <c r="B45" s="2" t="s">
        <v>34</v>
      </c>
      <c r="C45" s="2" t="s">
        <v>13</v>
      </c>
      <c r="D45" s="2" t="s">
        <v>35</v>
      </c>
      <c r="E45" s="2" t="s">
        <v>15</v>
      </c>
      <c r="F45" s="2" t="s">
        <v>16</v>
      </c>
      <c r="G45" s="2" t="s">
        <v>23</v>
      </c>
      <c r="H45" s="3">
        <v>433038</v>
      </c>
      <c r="I45" s="3">
        <v>458067</v>
      </c>
      <c r="J45" s="4">
        <f t="shared" si="2"/>
        <v>458067</v>
      </c>
      <c r="K45" s="5" t="str">
        <f t="shared" si="3"/>
        <v>Round-2 PDF</v>
      </c>
    </row>
    <row r="46" spans="1:11" x14ac:dyDescent="0.2">
      <c r="A46" s="2" t="s">
        <v>33</v>
      </c>
      <c r="B46" s="2" t="s">
        <v>34</v>
      </c>
      <c r="C46" s="2" t="s">
        <v>13</v>
      </c>
      <c r="D46" s="2" t="s">
        <v>35</v>
      </c>
      <c r="E46" s="2" t="s">
        <v>15</v>
      </c>
      <c r="F46" s="2" t="s">
        <v>16</v>
      </c>
      <c r="G46" s="2" t="s">
        <v>24</v>
      </c>
      <c r="H46" s="3">
        <v>197313</v>
      </c>
      <c r="I46" s="3">
        <v>197313</v>
      </c>
      <c r="J46" s="4">
        <f t="shared" si="2"/>
        <v>197313</v>
      </c>
      <c r="K46" s="5" t="str">
        <f t="shared" si="3"/>
        <v>Round-2 PDF</v>
      </c>
    </row>
    <row r="47" spans="1:11" x14ac:dyDescent="0.2">
      <c r="A47" s="2" t="s">
        <v>33</v>
      </c>
      <c r="B47" s="2" t="s">
        <v>34</v>
      </c>
      <c r="C47" s="2" t="s">
        <v>13</v>
      </c>
      <c r="D47" s="2" t="s">
        <v>35</v>
      </c>
      <c r="E47" s="2" t="s">
        <v>15</v>
      </c>
      <c r="F47" s="2" t="s">
        <v>16</v>
      </c>
      <c r="G47" s="2" t="s">
        <v>25</v>
      </c>
      <c r="H47" s="3">
        <v>458067</v>
      </c>
      <c r="I47" s="3">
        <v>440684</v>
      </c>
      <c r="J47" s="4">
        <f t="shared" si="2"/>
        <v>440684</v>
      </c>
      <c r="K47" s="5" t="str">
        <f t="shared" si="3"/>
        <v>Round-2 PDF</v>
      </c>
    </row>
    <row r="48" spans="1:11" x14ac:dyDescent="0.2">
      <c r="A48" s="2" t="s">
        <v>33</v>
      </c>
      <c r="B48" s="2" t="s">
        <v>34</v>
      </c>
      <c r="C48" s="2" t="s">
        <v>13</v>
      </c>
      <c r="D48" s="2" t="s">
        <v>35</v>
      </c>
      <c r="E48" s="2" t="s">
        <v>15</v>
      </c>
      <c r="F48" s="2" t="s">
        <v>26</v>
      </c>
      <c r="G48" s="2" t="s">
        <v>22</v>
      </c>
      <c r="H48" s="3">
        <v>121136</v>
      </c>
      <c r="I48" s="3"/>
      <c r="J48" s="6">
        <f t="shared" si="2"/>
        <v>121136</v>
      </c>
      <c r="K48" s="5" t="str">
        <f t="shared" si="3"/>
        <v>Fallback to Round-1 PDF</v>
      </c>
    </row>
    <row r="49" spans="1:11" x14ac:dyDescent="0.2">
      <c r="A49" s="2" t="s">
        <v>36</v>
      </c>
      <c r="B49" s="2" t="s">
        <v>37</v>
      </c>
      <c r="C49" s="2" t="s">
        <v>13</v>
      </c>
      <c r="D49" s="2" t="s">
        <v>38</v>
      </c>
      <c r="E49" s="2" t="s">
        <v>39</v>
      </c>
      <c r="F49" s="2" t="s">
        <v>16</v>
      </c>
      <c r="G49" s="2" t="s">
        <v>17</v>
      </c>
      <c r="H49" s="3">
        <v>23399</v>
      </c>
      <c r="I49" s="3">
        <v>23399</v>
      </c>
      <c r="J49" s="4">
        <f t="shared" si="2"/>
        <v>23399</v>
      </c>
      <c r="K49" s="5" t="str">
        <f t="shared" si="3"/>
        <v>Round-2 PDF</v>
      </c>
    </row>
    <row r="50" spans="1:11" x14ac:dyDescent="0.2">
      <c r="A50" s="2" t="s">
        <v>36</v>
      </c>
      <c r="B50" s="2" t="s">
        <v>37</v>
      </c>
      <c r="C50" s="2" t="s">
        <v>13</v>
      </c>
      <c r="D50" s="2" t="s">
        <v>38</v>
      </c>
      <c r="E50" s="2" t="s">
        <v>39</v>
      </c>
      <c r="F50" s="2" t="s">
        <v>16</v>
      </c>
      <c r="G50" s="2" t="s">
        <v>18</v>
      </c>
      <c r="H50" s="3">
        <v>542419</v>
      </c>
      <c r="I50" s="3">
        <v>542419</v>
      </c>
      <c r="J50" s="4">
        <f t="shared" si="2"/>
        <v>542419</v>
      </c>
      <c r="K50" s="5" t="str">
        <f t="shared" si="3"/>
        <v>Round-2 PDF</v>
      </c>
    </row>
    <row r="51" spans="1:11" x14ac:dyDescent="0.2">
      <c r="A51" s="2" t="s">
        <v>36</v>
      </c>
      <c r="B51" s="2" t="s">
        <v>37</v>
      </c>
      <c r="C51" s="2" t="s">
        <v>13</v>
      </c>
      <c r="D51" s="2" t="s">
        <v>38</v>
      </c>
      <c r="E51" s="2" t="s">
        <v>39</v>
      </c>
      <c r="F51" s="2" t="s">
        <v>16</v>
      </c>
      <c r="G51" s="2" t="s">
        <v>19</v>
      </c>
      <c r="H51" s="3">
        <v>47724</v>
      </c>
      <c r="I51" s="3">
        <v>47724</v>
      </c>
      <c r="J51" s="4">
        <f t="shared" si="2"/>
        <v>47724</v>
      </c>
      <c r="K51" s="5" t="str">
        <f t="shared" si="3"/>
        <v>Round-2 PDF</v>
      </c>
    </row>
    <row r="52" spans="1:11" x14ac:dyDescent="0.2">
      <c r="A52" s="2" t="s">
        <v>36</v>
      </c>
      <c r="B52" s="2" t="s">
        <v>37</v>
      </c>
      <c r="C52" s="2" t="s">
        <v>13</v>
      </c>
      <c r="D52" s="2" t="s">
        <v>38</v>
      </c>
      <c r="E52" s="2" t="s">
        <v>39</v>
      </c>
      <c r="F52" s="2" t="s">
        <v>16</v>
      </c>
      <c r="G52" s="2" t="s">
        <v>20</v>
      </c>
      <c r="H52" s="3">
        <v>23723</v>
      </c>
      <c r="I52" s="3">
        <v>23723</v>
      </c>
      <c r="J52" s="4">
        <f t="shared" si="2"/>
        <v>23723</v>
      </c>
      <c r="K52" s="5" t="str">
        <f t="shared" si="3"/>
        <v>Round-2 PDF</v>
      </c>
    </row>
    <row r="53" spans="1:11" x14ac:dyDescent="0.2">
      <c r="A53" s="2" t="s">
        <v>36</v>
      </c>
      <c r="B53" s="2" t="s">
        <v>37</v>
      </c>
      <c r="C53" s="2" t="s">
        <v>13</v>
      </c>
      <c r="D53" s="2" t="s">
        <v>38</v>
      </c>
      <c r="E53" s="2" t="s">
        <v>39</v>
      </c>
      <c r="F53" s="2" t="s">
        <v>16</v>
      </c>
      <c r="G53" s="2" t="s">
        <v>21</v>
      </c>
      <c r="H53" s="3">
        <v>24710</v>
      </c>
      <c r="I53" s="3">
        <v>24710</v>
      </c>
      <c r="J53" s="4">
        <f t="shared" si="2"/>
        <v>24710</v>
      </c>
      <c r="K53" s="5" t="str">
        <f t="shared" si="3"/>
        <v>Round-2 PDF</v>
      </c>
    </row>
    <row r="54" spans="1:11" x14ac:dyDescent="0.2">
      <c r="A54" s="2" t="s">
        <v>36</v>
      </c>
      <c r="B54" s="2" t="s">
        <v>37</v>
      </c>
      <c r="C54" s="2" t="s">
        <v>13</v>
      </c>
      <c r="D54" s="2" t="s">
        <v>38</v>
      </c>
      <c r="E54" s="2" t="s">
        <v>39</v>
      </c>
      <c r="F54" s="2" t="s">
        <v>16</v>
      </c>
      <c r="G54" s="2" t="s">
        <v>22</v>
      </c>
      <c r="H54" s="3">
        <v>20707</v>
      </c>
      <c r="I54" s="3">
        <v>20707</v>
      </c>
      <c r="J54" s="4">
        <f t="shared" si="2"/>
        <v>20707</v>
      </c>
      <c r="K54" s="5" t="str">
        <f t="shared" si="3"/>
        <v>Round-2 PDF</v>
      </c>
    </row>
    <row r="55" spans="1:11" x14ac:dyDescent="0.2">
      <c r="A55" s="2" t="s">
        <v>36</v>
      </c>
      <c r="B55" s="2" t="s">
        <v>37</v>
      </c>
      <c r="C55" s="2" t="s">
        <v>13</v>
      </c>
      <c r="D55" s="2" t="s">
        <v>38</v>
      </c>
      <c r="E55" s="2" t="s">
        <v>39</v>
      </c>
      <c r="F55" s="2" t="s">
        <v>16</v>
      </c>
      <c r="G55" s="2" t="s">
        <v>23</v>
      </c>
      <c r="H55" s="3">
        <v>46784</v>
      </c>
      <c r="I55" s="3">
        <v>46784</v>
      </c>
      <c r="J55" s="4">
        <f t="shared" si="2"/>
        <v>46784</v>
      </c>
      <c r="K55" s="5" t="str">
        <f t="shared" si="3"/>
        <v>Round-2 PDF</v>
      </c>
    </row>
    <row r="56" spans="1:11" x14ac:dyDescent="0.2">
      <c r="A56" s="2" t="s">
        <v>36</v>
      </c>
      <c r="B56" s="2" t="s">
        <v>37</v>
      </c>
      <c r="C56" s="2" t="s">
        <v>13</v>
      </c>
      <c r="D56" s="2" t="s">
        <v>38</v>
      </c>
      <c r="E56" s="2" t="s">
        <v>39</v>
      </c>
      <c r="F56" s="2" t="s">
        <v>16</v>
      </c>
      <c r="G56" s="2" t="s">
        <v>24</v>
      </c>
      <c r="H56" s="3">
        <v>22141</v>
      </c>
      <c r="I56" s="3">
        <v>22141</v>
      </c>
      <c r="J56" s="4">
        <f t="shared" si="2"/>
        <v>22141</v>
      </c>
      <c r="K56" s="5" t="str">
        <f t="shared" si="3"/>
        <v>Round-2 PDF</v>
      </c>
    </row>
    <row r="57" spans="1:11" x14ac:dyDescent="0.2">
      <c r="A57" s="2" t="s">
        <v>36</v>
      </c>
      <c r="B57" s="2" t="s">
        <v>37</v>
      </c>
      <c r="C57" s="2" t="s">
        <v>13</v>
      </c>
      <c r="D57" s="2" t="s">
        <v>38</v>
      </c>
      <c r="E57" s="2" t="s">
        <v>39</v>
      </c>
      <c r="F57" s="2" t="s">
        <v>16</v>
      </c>
      <c r="G57" s="2" t="s">
        <v>25</v>
      </c>
      <c r="H57" s="3">
        <v>29974</v>
      </c>
      <c r="I57" s="3">
        <v>29974</v>
      </c>
      <c r="J57" s="4">
        <f t="shared" si="2"/>
        <v>29974</v>
      </c>
      <c r="K57" s="5" t="str">
        <f t="shared" si="3"/>
        <v>Round-2 PDF</v>
      </c>
    </row>
    <row r="58" spans="1:11" x14ac:dyDescent="0.2">
      <c r="A58" s="2" t="s">
        <v>40</v>
      </c>
      <c r="B58" s="2" t="s">
        <v>41</v>
      </c>
      <c r="C58" s="2" t="s">
        <v>42</v>
      </c>
      <c r="D58" s="2" t="s">
        <v>14</v>
      </c>
      <c r="E58" s="2" t="s">
        <v>15</v>
      </c>
      <c r="F58" s="2" t="s">
        <v>16</v>
      </c>
      <c r="G58" s="2" t="s">
        <v>17</v>
      </c>
      <c r="H58" s="3">
        <v>77936</v>
      </c>
      <c r="I58" s="3">
        <v>77936</v>
      </c>
      <c r="J58" s="4">
        <f t="shared" si="2"/>
        <v>77936</v>
      </c>
      <c r="K58" s="5" t="str">
        <f t="shared" si="3"/>
        <v>Round-2 PDF</v>
      </c>
    </row>
    <row r="59" spans="1:11" x14ac:dyDescent="0.2">
      <c r="A59" s="2" t="s">
        <v>40</v>
      </c>
      <c r="B59" s="2" t="s">
        <v>41</v>
      </c>
      <c r="C59" s="2" t="s">
        <v>42</v>
      </c>
      <c r="D59" s="2" t="s">
        <v>14</v>
      </c>
      <c r="E59" s="2" t="s">
        <v>15</v>
      </c>
      <c r="F59" s="2" t="s">
        <v>16</v>
      </c>
      <c r="G59" s="2" t="s">
        <v>18</v>
      </c>
      <c r="H59" s="3">
        <v>33753</v>
      </c>
      <c r="I59" s="3">
        <v>48749</v>
      </c>
      <c r="J59" s="4">
        <f t="shared" si="2"/>
        <v>48749</v>
      </c>
      <c r="K59" s="5" t="str">
        <f t="shared" si="3"/>
        <v>Round-2 PDF</v>
      </c>
    </row>
    <row r="60" spans="1:11" x14ac:dyDescent="0.2">
      <c r="A60" s="2" t="s">
        <v>40</v>
      </c>
      <c r="B60" s="2" t="s">
        <v>41</v>
      </c>
      <c r="C60" s="2" t="s">
        <v>42</v>
      </c>
      <c r="D60" s="2" t="s">
        <v>14</v>
      </c>
      <c r="E60" s="2" t="s">
        <v>15</v>
      </c>
      <c r="F60" s="2" t="s">
        <v>16</v>
      </c>
      <c r="G60" s="2" t="s">
        <v>19</v>
      </c>
      <c r="H60" s="3">
        <v>111060</v>
      </c>
      <c r="I60" s="3">
        <v>117638</v>
      </c>
      <c r="J60" s="4">
        <f t="shared" si="2"/>
        <v>117638</v>
      </c>
      <c r="K60" s="5" t="str">
        <f t="shared" si="3"/>
        <v>Round-2 PDF</v>
      </c>
    </row>
    <row r="61" spans="1:11" x14ac:dyDescent="0.2">
      <c r="A61" s="2" t="s">
        <v>40</v>
      </c>
      <c r="B61" s="2" t="s">
        <v>41</v>
      </c>
      <c r="C61" s="2" t="s">
        <v>42</v>
      </c>
      <c r="D61" s="2" t="s">
        <v>14</v>
      </c>
      <c r="E61" s="2" t="s">
        <v>15</v>
      </c>
      <c r="F61" s="2" t="s">
        <v>16</v>
      </c>
      <c r="G61" s="2" t="s">
        <v>20</v>
      </c>
      <c r="H61" s="3">
        <v>78924</v>
      </c>
      <c r="I61" s="3">
        <v>83766</v>
      </c>
      <c r="J61" s="4">
        <f t="shared" si="2"/>
        <v>83766</v>
      </c>
      <c r="K61" s="5" t="str">
        <f t="shared" si="3"/>
        <v>Round-2 PDF</v>
      </c>
    </row>
    <row r="62" spans="1:11" x14ac:dyDescent="0.2">
      <c r="A62" s="2" t="s">
        <v>40</v>
      </c>
      <c r="B62" s="2" t="s">
        <v>41</v>
      </c>
      <c r="C62" s="2" t="s">
        <v>42</v>
      </c>
      <c r="D62" s="2" t="s">
        <v>14</v>
      </c>
      <c r="E62" s="2" t="s">
        <v>15</v>
      </c>
      <c r="F62" s="2" t="s">
        <v>16</v>
      </c>
      <c r="G62" s="2" t="s">
        <v>21</v>
      </c>
      <c r="H62" s="3">
        <v>96040</v>
      </c>
      <c r="I62" s="3">
        <v>96040</v>
      </c>
      <c r="J62" s="4">
        <f t="shared" si="2"/>
        <v>96040</v>
      </c>
      <c r="K62" s="5" t="str">
        <f t="shared" si="3"/>
        <v>Round-2 PDF</v>
      </c>
    </row>
    <row r="63" spans="1:11" x14ac:dyDescent="0.2">
      <c r="A63" s="2" t="s">
        <v>40</v>
      </c>
      <c r="B63" s="2" t="s">
        <v>41</v>
      </c>
      <c r="C63" s="2" t="s">
        <v>42</v>
      </c>
      <c r="D63" s="2" t="s">
        <v>14</v>
      </c>
      <c r="E63" s="2" t="s">
        <v>15</v>
      </c>
      <c r="F63" s="2" t="s">
        <v>16</v>
      </c>
      <c r="G63" s="2" t="s">
        <v>22</v>
      </c>
      <c r="H63" s="3">
        <v>53498</v>
      </c>
      <c r="I63" s="3">
        <v>63735</v>
      </c>
      <c r="J63" s="4">
        <f t="shared" si="2"/>
        <v>63735</v>
      </c>
      <c r="K63" s="5" t="str">
        <f t="shared" si="3"/>
        <v>Round-2 PDF</v>
      </c>
    </row>
    <row r="64" spans="1:11" x14ac:dyDescent="0.2">
      <c r="A64" s="2" t="s">
        <v>40</v>
      </c>
      <c r="B64" s="2" t="s">
        <v>41</v>
      </c>
      <c r="C64" s="2" t="s">
        <v>42</v>
      </c>
      <c r="D64" s="2" t="s">
        <v>14</v>
      </c>
      <c r="E64" s="2" t="s">
        <v>15</v>
      </c>
      <c r="F64" s="2" t="s">
        <v>16</v>
      </c>
      <c r="G64" s="2" t="s">
        <v>23</v>
      </c>
      <c r="H64" s="3">
        <v>108192</v>
      </c>
      <c r="I64" s="3">
        <v>122088</v>
      </c>
      <c r="J64" s="4">
        <f t="shared" si="2"/>
        <v>122088</v>
      </c>
      <c r="K64" s="5" t="str">
        <f t="shared" si="3"/>
        <v>Round-2 PDF</v>
      </c>
    </row>
    <row r="65" spans="1:11" x14ac:dyDescent="0.2">
      <c r="A65" s="2" t="s">
        <v>40</v>
      </c>
      <c r="B65" s="2" t="s">
        <v>41</v>
      </c>
      <c r="C65" s="2" t="s">
        <v>42</v>
      </c>
      <c r="D65" s="2" t="s">
        <v>14</v>
      </c>
      <c r="E65" s="2" t="s">
        <v>15</v>
      </c>
      <c r="F65" s="2" t="s">
        <v>16</v>
      </c>
      <c r="G65" s="2" t="s">
        <v>24</v>
      </c>
      <c r="H65" s="3">
        <v>111125</v>
      </c>
      <c r="I65" s="3">
        <v>123511</v>
      </c>
      <c r="J65" s="4">
        <f t="shared" si="2"/>
        <v>123511</v>
      </c>
      <c r="K65" s="5" t="str">
        <f t="shared" si="3"/>
        <v>Round-2 PDF</v>
      </c>
    </row>
    <row r="66" spans="1:11" x14ac:dyDescent="0.2">
      <c r="A66" s="2" t="s">
        <v>40</v>
      </c>
      <c r="B66" s="2" t="s">
        <v>41</v>
      </c>
      <c r="C66" s="2" t="s">
        <v>42</v>
      </c>
      <c r="D66" s="2" t="s">
        <v>14</v>
      </c>
      <c r="E66" s="2" t="s">
        <v>15</v>
      </c>
      <c r="F66" s="2" t="s">
        <v>16</v>
      </c>
      <c r="G66" s="2" t="s">
        <v>25</v>
      </c>
      <c r="H66" s="3">
        <v>123511</v>
      </c>
      <c r="I66" s="3">
        <v>131186</v>
      </c>
      <c r="J66" s="4">
        <f t="shared" ref="J66:J97" si="4">IF(I66&lt;&gt;"",I66,H66)</f>
        <v>131186</v>
      </c>
      <c r="K66" s="5" t="str">
        <f t="shared" ref="K66:K97" si="5">IF(I66&lt;&gt;"","Round-2 PDF","Fallback to Round-1 PDF")</f>
        <v>Round-2 PDF</v>
      </c>
    </row>
    <row r="67" spans="1:11" x14ac:dyDescent="0.2">
      <c r="A67" s="2" t="s">
        <v>43</v>
      </c>
      <c r="B67" s="2" t="s">
        <v>44</v>
      </c>
      <c r="C67" s="2" t="s">
        <v>42</v>
      </c>
      <c r="D67" s="2" t="s">
        <v>14</v>
      </c>
      <c r="E67" s="2" t="s">
        <v>29</v>
      </c>
      <c r="F67" s="2" t="s">
        <v>16</v>
      </c>
      <c r="G67" s="2" t="s">
        <v>17</v>
      </c>
      <c r="H67" s="3">
        <v>10994</v>
      </c>
      <c r="I67" s="3">
        <v>14245</v>
      </c>
      <c r="J67" s="4">
        <f t="shared" si="4"/>
        <v>14245</v>
      </c>
      <c r="K67" s="5" t="str">
        <f t="shared" si="5"/>
        <v>Round-2 PDF</v>
      </c>
    </row>
    <row r="68" spans="1:11" x14ac:dyDescent="0.2">
      <c r="A68" s="2" t="s">
        <v>43</v>
      </c>
      <c r="B68" s="2" t="s">
        <v>44</v>
      </c>
      <c r="C68" s="2" t="s">
        <v>42</v>
      </c>
      <c r="D68" s="2" t="s">
        <v>14</v>
      </c>
      <c r="E68" s="2" t="s">
        <v>29</v>
      </c>
      <c r="F68" s="2" t="s">
        <v>16</v>
      </c>
      <c r="G68" s="2" t="s">
        <v>18</v>
      </c>
      <c r="H68" s="3">
        <v>9906</v>
      </c>
      <c r="I68" s="3">
        <v>13207</v>
      </c>
      <c r="J68" s="4">
        <f t="shared" si="4"/>
        <v>13207</v>
      </c>
      <c r="K68" s="5" t="str">
        <f t="shared" si="5"/>
        <v>Round-2 PDF</v>
      </c>
    </row>
    <row r="69" spans="1:11" x14ac:dyDescent="0.2">
      <c r="A69" s="2" t="s">
        <v>43</v>
      </c>
      <c r="B69" s="2" t="s">
        <v>44</v>
      </c>
      <c r="C69" s="2" t="s">
        <v>42</v>
      </c>
      <c r="D69" s="2" t="s">
        <v>14</v>
      </c>
      <c r="E69" s="2" t="s">
        <v>29</v>
      </c>
      <c r="F69" s="2" t="s">
        <v>16</v>
      </c>
      <c r="G69" s="2" t="s">
        <v>19</v>
      </c>
      <c r="H69" s="3">
        <v>16560</v>
      </c>
      <c r="I69" s="3">
        <v>18185</v>
      </c>
      <c r="J69" s="4">
        <f t="shared" si="4"/>
        <v>18185</v>
      </c>
      <c r="K69" s="5" t="str">
        <f t="shared" si="5"/>
        <v>Round-2 PDF</v>
      </c>
    </row>
    <row r="70" spans="1:11" x14ac:dyDescent="0.2">
      <c r="A70" s="2" t="s">
        <v>43</v>
      </c>
      <c r="B70" s="2" t="s">
        <v>44</v>
      </c>
      <c r="C70" s="2" t="s">
        <v>42</v>
      </c>
      <c r="D70" s="2" t="s">
        <v>14</v>
      </c>
      <c r="E70" s="2" t="s">
        <v>29</v>
      </c>
      <c r="F70" s="2" t="s">
        <v>16</v>
      </c>
      <c r="G70" s="2" t="s">
        <v>20</v>
      </c>
      <c r="H70" s="3">
        <v>13289</v>
      </c>
      <c r="I70" s="3">
        <v>16242</v>
      </c>
      <c r="J70" s="4">
        <f t="shared" si="4"/>
        <v>16242</v>
      </c>
      <c r="K70" s="5" t="str">
        <f t="shared" si="5"/>
        <v>Round-2 PDF</v>
      </c>
    </row>
    <row r="71" spans="1:11" x14ac:dyDescent="0.2">
      <c r="A71" s="2" t="s">
        <v>43</v>
      </c>
      <c r="B71" s="2" t="s">
        <v>44</v>
      </c>
      <c r="C71" s="2" t="s">
        <v>42</v>
      </c>
      <c r="D71" s="2" t="s">
        <v>14</v>
      </c>
      <c r="E71" s="2" t="s">
        <v>29</v>
      </c>
      <c r="F71" s="2" t="s">
        <v>16</v>
      </c>
      <c r="G71" s="2" t="s">
        <v>21</v>
      </c>
      <c r="H71" s="3">
        <v>10448</v>
      </c>
      <c r="I71" s="3">
        <v>14637</v>
      </c>
      <c r="J71" s="4">
        <f t="shared" si="4"/>
        <v>14637</v>
      </c>
      <c r="K71" s="5" t="str">
        <f t="shared" si="5"/>
        <v>Round-2 PDF</v>
      </c>
    </row>
    <row r="72" spans="1:11" x14ac:dyDescent="0.2">
      <c r="A72" s="2" t="s">
        <v>43</v>
      </c>
      <c r="B72" s="2" t="s">
        <v>44</v>
      </c>
      <c r="C72" s="2" t="s">
        <v>42</v>
      </c>
      <c r="D72" s="2" t="s">
        <v>14</v>
      </c>
      <c r="E72" s="2" t="s">
        <v>29</v>
      </c>
      <c r="F72" s="2" t="s">
        <v>16</v>
      </c>
      <c r="G72" s="2" t="s">
        <v>22</v>
      </c>
      <c r="H72" s="3">
        <v>8671</v>
      </c>
      <c r="I72" s="3">
        <v>12144</v>
      </c>
      <c r="J72" s="4">
        <f t="shared" si="4"/>
        <v>12144</v>
      </c>
      <c r="K72" s="5" t="str">
        <f t="shared" si="5"/>
        <v>Round-2 PDF</v>
      </c>
    </row>
    <row r="73" spans="1:11" x14ac:dyDescent="0.2">
      <c r="A73" s="2" t="s">
        <v>43</v>
      </c>
      <c r="B73" s="2" t="s">
        <v>44</v>
      </c>
      <c r="C73" s="2" t="s">
        <v>42</v>
      </c>
      <c r="D73" s="2" t="s">
        <v>14</v>
      </c>
      <c r="E73" s="2" t="s">
        <v>29</v>
      </c>
      <c r="F73" s="2" t="s">
        <v>16</v>
      </c>
      <c r="G73" s="2" t="s">
        <v>23</v>
      </c>
      <c r="H73" s="3">
        <v>13969</v>
      </c>
      <c r="I73" s="3">
        <v>17627</v>
      </c>
      <c r="J73" s="4">
        <f t="shared" si="4"/>
        <v>17627</v>
      </c>
      <c r="K73" s="5" t="str">
        <f t="shared" si="5"/>
        <v>Round-2 PDF</v>
      </c>
    </row>
    <row r="74" spans="1:11" x14ac:dyDescent="0.2">
      <c r="A74" s="2" t="s">
        <v>43</v>
      </c>
      <c r="B74" s="2" t="s">
        <v>44</v>
      </c>
      <c r="C74" s="2" t="s">
        <v>42</v>
      </c>
      <c r="D74" s="2" t="s">
        <v>14</v>
      </c>
      <c r="E74" s="2" t="s">
        <v>29</v>
      </c>
      <c r="F74" s="2" t="s">
        <v>16</v>
      </c>
      <c r="G74" s="2" t="s">
        <v>24</v>
      </c>
      <c r="H74" s="3">
        <v>13745</v>
      </c>
      <c r="I74" s="3">
        <v>17154</v>
      </c>
      <c r="J74" s="4">
        <f t="shared" si="4"/>
        <v>17154</v>
      </c>
      <c r="K74" s="5" t="str">
        <f t="shared" si="5"/>
        <v>Round-2 PDF</v>
      </c>
    </row>
    <row r="75" spans="1:11" x14ac:dyDescent="0.2">
      <c r="A75" s="2" t="s">
        <v>43</v>
      </c>
      <c r="B75" s="2" t="s">
        <v>44</v>
      </c>
      <c r="C75" s="2" t="s">
        <v>42</v>
      </c>
      <c r="D75" s="2" t="s">
        <v>14</v>
      </c>
      <c r="E75" s="2" t="s">
        <v>29</v>
      </c>
      <c r="F75" s="2" t="s">
        <v>16</v>
      </c>
      <c r="G75" s="2" t="s">
        <v>25</v>
      </c>
      <c r="H75" s="3">
        <v>16242</v>
      </c>
      <c r="I75" s="3">
        <v>19755</v>
      </c>
      <c r="J75" s="4">
        <f t="shared" si="4"/>
        <v>19755</v>
      </c>
      <c r="K75" s="5" t="str">
        <f t="shared" si="5"/>
        <v>Round-2 PDF</v>
      </c>
    </row>
    <row r="76" spans="1:11" x14ac:dyDescent="0.2">
      <c r="A76" s="2" t="s">
        <v>45</v>
      </c>
      <c r="B76" s="2" t="s">
        <v>46</v>
      </c>
      <c r="C76" s="2" t="s">
        <v>42</v>
      </c>
      <c r="D76" s="2" t="s">
        <v>32</v>
      </c>
      <c r="E76" s="2" t="s">
        <v>15</v>
      </c>
      <c r="F76" s="2" t="s">
        <v>16</v>
      </c>
      <c r="G76" s="2" t="s">
        <v>17</v>
      </c>
      <c r="H76" s="3">
        <v>109496</v>
      </c>
      <c r="I76" s="3">
        <v>141521</v>
      </c>
      <c r="J76" s="4">
        <f t="shared" si="4"/>
        <v>141521</v>
      </c>
      <c r="K76" s="5" t="str">
        <f t="shared" si="5"/>
        <v>Round-2 PDF</v>
      </c>
    </row>
    <row r="77" spans="1:11" x14ac:dyDescent="0.2">
      <c r="A77" s="2" t="s">
        <v>45</v>
      </c>
      <c r="B77" s="2" t="s">
        <v>46</v>
      </c>
      <c r="C77" s="2" t="s">
        <v>42</v>
      </c>
      <c r="D77" s="2" t="s">
        <v>32</v>
      </c>
      <c r="E77" s="2" t="s">
        <v>15</v>
      </c>
      <c r="F77" s="2" t="s">
        <v>16</v>
      </c>
      <c r="G77" s="2" t="s">
        <v>18</v>
      </c>
      <c r="H77" s="3">
        <v>91530</v>
      </c>
      <c r="I77" s="3">
        <v>137030</v>
      </c>
      <c r="J77" s="4">
        <f t="shared" si="4"/>
        <v>137030</v>
      </c>
      <c r="K77" s="5" t="str">
        <f t="shared" si="5"/>
        <v>Round-2 PDF</v>
      </c>
    </row>
    <row r="78" spans="1:11" x14ac:dyDescent="0.2">
      <c r="A78" s="2" t="s">
        <v>45</v>
      </c>
      <c r="B78" s="2" t="s">
        <v>46</v>
      </c>
      <c r="C78" s="2" t="s">
        <v>42</v>
      </c>
      <c r="D78" s="2" t="s">
        <v>32</v>
      </c>
      <c r="E78" s="2" t="s">
        <v>15</v>
      </c>
      <c r="F78" s="2" t="s">
        <v>16</v>
      </c>
      <c r="G78" s="2" t="s">
        <v>19</v>
      </c>
      <c r="H78" s="3">
        <v>184820</v>
      </c>
      <c r="I78" s="3">
        <v>184820</v>
      </c>
      <c r="J78" s="4">
        <f t="shared" si="4"/>
        <v>184820</v>
      </c>
      <c r="K78" s="5" t="str">
        <f t="shared" si="5"/>
        <v>Round-2 PDF</v>
      </c>
    </row>
    <row r="79" spans="1:11" x14ac:dyDescent="0.2">
      <c r="A79" s="2" t="s">
        <v>45</v>
      </c>
      <c r="B79" s="2" t="s">
        <v>46</v>
      </c>
      <c r="C79" s="2" t="s">
        <v>42</v>
      </c>
      <c r="D79" s="2" t="s">
        <v>32</v>
      </c>
      <c r="E79" s="2" t="s">
        <v>15</v>
      </c>
      <c r="F79" s="2" t="s">
        <v>16</v>
      </c>
      <c r="G79" s="2" t="s">
        <v>20</v>
      </c>
      <c r="H79" s="3">
        <v>165058</v>
      </c>
      <c r="I79" s="3">
        <v>165058</v>
      </c>
      <c r="J79" s="4">
        <f t="shared" si="4"/>
        <v>165058</v>
      </c>
      <c r="K79" s="5" t="str">
        <f t="shared" si="5"/>
        <v>Round-2 PDF</v>
      </c>
    </row>
    <row r="80" spans="1:11" x14ac:dyDescent="0.2">
      <c r="A80" s="2" t="s">
        <v>45</v>
      </c>
      <c r="B80" s="2" t="s">
        <v>46</v>
      </c>
      <c r="C80" s="2" t="s">
        <v>42</v>
      </c>
      <c r="D80" s="2" t="s">
        <v>32</v>
      </c>
      <c r="E80" s="2" t="s">
        <v>15</v>
      </c>
      <c r="F80" s="2" t="s">
        <v>16</v>
      </c>
      <c r="G80" s="2" t="s">
        <v>22</v>
      </c>
      <c r="H80" s="3">
        <v>58795</v>
      </c>
      <c r="I80" s="3">
        <v>91530</v>
      </c>
      <c r="J80" s="4">
        <f t="shared" si="4"/>
        <v>91530</v>
      </c>
      <c r="K80" s="5" t="str">
        <f t="shared" si="5"/>
        <v>Round-2 PDF</v>
      </c>
    </row>
    <row r="81" spans="1:11" x14ac:dyDescent="0.2">
      <c r="A81" s="2" t="s">
        <v>45</v>
      </c>
      <c r="B81" s="2" t="s">
        <v>46</v>
      </c>
      <c r="C81" s="2" t="s">
        <v>42</v>
      </c>
      <c r="D81" s="2" t="s">
        <v>32</v>
      </c>
      <c r="E81" s="2" t="s">
        <v>15</v>
      </c>
      <c r="F81" s="2" t="s">
        <v>16</v>
      </c>
      <c r="G81" s="2" t="s">
        <v>23</v>
      </c>
      <c r="H81" s="3">
        <v>199851</v>
      </c>
      <c r="I81" s="3">
        <v>181575</v>
      </c>
      <c r="J81" s="4">
        <f t="shared" si="4"/>
        <v>181575</v>
      </c>
      <c r="K81" s="5" t="str">
        <f t="shared" si="5"/>
        <v>Round-2 PDF</v>
      </c>
    </row>
    <row r="82" spans="1:11" x14ac:dyDescent="0.2">
      <c r="A82" s="2" t="s">
        <v>45</v>
      </c>
      <c r="B82" s="2" t="s">
        <v>46</v>
      </c>
      <c r="C82" s="2" t="s">
        <v>42</v>
      </c>
      <c r="D82" s="2" t="s">
        <v>32</v>
      </c>
      <c r="E82" s="2" t="s">
        <v>15</v>
      </c>
      <c r="F82" s="2" t="s">
        <v>16</v>
      </c>
      <c r="G82" s="2" t="s">
        <v>24</v>
      </c>
      <c r="H82" s="3">
        <v>208940</v>
      </c>
      <c r="I82" s="3">
        <v>208940</v>
      </c>
      <c r="J82" s="4">
        <f t="shared" si="4"/>
        <v>208940</v>
      </c>
      <c r="K82" s="5" t="str">
        <f t="shared" si="5"/>
        <v>Round-2 PDF</v>
      </c>
    </row>
    <row r="83" spans="1:11" x14ac:dyDescent="0.2">
      <c r="A83" s="2" t="s">
        <v>45</v>
      </c>
      <c r="B83" s="2" t="s">
        <v>46</v>
      </c>
      <c r="C83" s="2" t="s">
        <v>42</v>
      </c>
      <c r="D83" s="2" t="s">
        <v>32</v>
      </c>
      <c r="E83" s="2" t="s">
        <v>15</v>
      </c>
      <c r="F83" s="2" t="s">
        <v>16</v>
      </c>
      <c r="G83" s="2" t="s">
        <v>25</v>
      </c>
      <c r="H83" s="3">
        <v>270555</v>
      </c>
      <c r="I83" s="3">
        <v>270555</v>
      </c>
      <c r="J83" s="4">
        <f t="shared" si="4"/>
        <v>270555</v>
      </c>
      <c r="K83" s="5" t="str">
        <f t="shared" si="5"/>
        <v>Round-2 PDF</v>
      </c>
    </row>
    <row r="84" spans="1:11" x14ac:dyDescent="0.2">
      <c r="A84" s="2" t="s">
        <v>47</v>
      </c>
      <c r="B84" s="2" t="s">
        <v>48</v>
      </c>
      <c r="C84" s="2" t="s">
        <v>49</v>
      </c>
      <c r="D84" s="2" t="s">
        <v>14</v>
      </c>
      <c r="E84" s="2" t="s">
        <v>15</v>
      </c>
      <c r="F84" s="2" t="s">
        <v>16</v>
      </c>
      <c r="G84" s="2" t="s">
        <v>17</v>
      </c>
      <c r="H84" s="3">
        <v>44339</v>
      </c>
      <c r="I84" s="3">
        <v>44570</v>
      </c>
      <c r="J84" s="4">
        <f t="shared" si="4"/>
        <v>44570</v>
      </c>
      <c r="K84" s="5" t="str">
        <f t="shared" si="5"/>
        <v>Round-2 PDF</v>
      </c>
    </row>
    <row r="85" spans="1:11" x14ac:dyDescent="0.2">
      <c r="A85" s="2" t="s">
        <v>47</v>
      </c>
      <c r="B85" s="2" t="s">
        <v>48</v>
      </c>
      <c r="C85" s="2" t="s">
        <v>49</v>
      </c>
      <c r="D85" s="2" t="s">
        <v>14</v>
      </c>
      <c r="E85" s="2" t="s">
        <v>15</v>
      </c>
      <c r="F85" s="2" t="s">
        <v>16</v>
      </c>
      <c r="G85" s="2" t="s">
        <v>18</v>
      </c>
      <c r="H85" s="3">
        <v>22897</v>
      </c>
      <c r="I85" s="3">
        <v>22897</v>
      </c>
      <c r="J85" s="4">
        <f t="shared" si="4"/>
        <v>22897</v>
      </c>
      <c r="K85" s="5" t="str">
        <f t="shared" si="5"/>
        <v>Round-2 PDF</v>
      </c>
    </row>
    <row r="86" spans="1:11" x14ac:dyDescent="0.2">
      <c r="A86" s="2" t="s">
        <v>47</v>
      </c>
      <c r="B86" s="2" t="s">
        <v>48</v>
      </c>
      <c r="C86" s="2" t="s">
        <v>49</v>
      </c>
      <c r="D86" s="2" t="s">
        <v>14</v>
      </c>
      <c r="E86" s="2" t="s">
        <v>15</v>
      </c>
      <c r="F86" s="2" t="s">
        <v>16</v>
      </c>
      <c r="G86" s="2" t="s">
        <v>19</v>
      </c>
      <c r="H86" s="3">
        <v>53766</v>
      </c>
      <c r="I86" s="3">
        <v>56347</v>
      </c>
      <c r="J86" s="4">
        <f t="shared" si="4"/>
        <v>56347</v>
      </c>
      <c r="K86" s="5" t="str">
        <f t="shared" si="5"/>
        <v>Round-2 PDF</v>
      </c>
    </row>
    <row r="87" spans="1:11" x14ac:dyDescent="0.2">
      <c r="A87" s="2" t="s">
        <v>47</v>
      </c>
      <c r="B87" s="2" t="s">
        <v>48</v>
      </c>
      <c r="C87" s="2" t="s">
        <v>49</v>
      </c>
      <c r="D87" s="2" t="s">
        <v>14</v>
      </c>
      <c r="E87" s="2" t="s">
        <v>15</v>
      </c>
      <c r="F87" s="2" t="s">
        <v>16</v>
      </c>
      <c r="G87" s="2" t="s">
        <v>20</v>
      </c>
      <c r="H87" s="3">
        <v>46460</v>
      </c>
      <c r="I87" s="3">
        <v>51410</v>
      </c>
      <c r="J87" s="4">
        <f t="shared" si="4"/>
        <v>51410</v>
      </c>
      <c r="K87" s="5" t="str">
        <f t="shared" si="5"/>
        <v>Round-2 PDF</v>
      </c>
    </row>
    <row r="88" spans="1:11" x14ac:dyDescent="0.2">
      <c r="A88" s="2" t="s">
        <v>47</v>
      </c>
      <c r="B88" s="2" t="s">
        <v>48</v>
      </c>
      <c r="C88" s="2" t="s">
        <v>49</v>
      </c>
      <c r="D88" s="2" t="s">
        <v>14</v>
      </c>
      <c r="E88" s="2" t="s">
        <v>15</v>
      </c>
      <c r="F88" s="2" t="s">
        <v>16</v>
      </c>
      <c r="G88" s="2" t="s">
        <v>21</v>
      </c>
      <c r="H88" s="3">
        <v>46621</v>
      </c>
      <c r="I88" s="3">
        <v>45929</v>
      </c>
      <c r="J88" s="4">
        <f t="shared" si="4"/>
        <v>45929</v>
      </c>
      <c r="K88" s="5" t="str">
        <f t="shared" si="5"/>
        <v>Round-2 PDF</v>
      </c>
    </row>
    <row r="89" spans="1:11" x14ac:dyDescent="0.2">
      <c r="A89" s="2" t="s">
        <v>47</v>
      </c>
      <c r="B89" s="2" t="s">
        <v>48</v>
      </c>
      <c r="C89" s="2" t="s">
        <v>49</v>
      </c>
      <c r="D89" s="2" t="s">
        <v>14</v>
      </c>
      <c r="E89" s="2" t="s">
        <v>15</v>
      </c>
      <c r="F89" s="2" t="s">
        <v>16</v>
      </c>
      <c r="G89" s="2" t="s">
        <v>22</v>
      </c>
      <c r="H89" s="3">
        <v>33773</v>
      </c>
      <c r="I89" s="3">
        <v>34744</v>
      </c>
      <c r="J89" s="4">
        <f t="shared" si="4"/>
        <v>34744</v>
      </c>
      <c r="K89" s="5" t="str">
        <f t="shared" si="5"/>
        <v>Round-2 PDF</v>
      </c>
    </row>
    <row r="90" spans="1:11" x14ac:dyDescent="0.2">
      <c r="A90" s="2" t="s">
        <v>47</v>
      </c>
      <c r="B90" s="2" t="s">
        <v>48</v>
      </c>
      <c r="C90" s="2" t="s">
        <v>49</v>
      </c>
      <c r="D90" s="2" t="s">
        <v>14</v>
      </c>
      <c r="E90" s="2" t="s">
        <v>15</v>
      </c>
      <c r="F90" s="2" t="s">
        <v>16</v>
      </c>
      <c r="G90" s="2" t="s">
        <v>23</v>
      </c>
      <c r="H90" s="3">
        <v>53116</v>
      </c>
      <c r="I90" s="3">
        <v>58176</v>
      </c>
      <c r="J90" s="4">
        <f t="shared" si="4"/>
        <v>58176</v>
      </c>
      <c r="K90" s="5" t="str">
        <f t="shared" si="5"/>
        <v>Round-2 PDF</v>
      </c>
    </row>
    <row r="91" spans="1:11" x14ac:dyDescent="0.2">
      <c r="A91" s="2" t="s">
        <v>47</v>
      </c>
      <c r="B91" s="2" t="s">
        <v>48</v>
      </c>
      <c r="C91" s="2" t="s">
        <v>49</v>
      </c>
      <c r="D91" s="2" t="s">
        <v>14</v>
      </c>
      <c r="E91" s="2" t="s">
        <v>15</v>
      </c>
      <c r="F91" s="2" t="s">
        <v>16</v>
      </c>
      <c r="G91" s="2" t="s">
        <v>24</v>
      </c>
      <c r="H91" s="3">
        <v>57242</v>
      </c>
      <c r="I91" s="3">
        <v>60861</v>
      </c>
      <c r="J91" s="4">
        <f t="shared" si="4"/>
        <v>60861</v>
      </c>
      <c r="K91" s="5" t="str">
        <f t="shared" si="5"/>
        <v>Round-2 PDF</v>
      </c>
    </row>
    <row r="92" spans="1:11" x14ac:dyDescent="0.2">
      <c r="A92" s="2" t="s">
        <v>47</v>
      </c>
      <c r="B92" s="2" t="s">
        <v>48</v>
      </c>
      <c r="C92" s="2" t="s">
        <v>49</v>
      </c>
      <c r="D92" s="2" t="s">
        <v>14</v>
      </c>
      <c r="E92" s="2" t="s">
        <v>15</v>
      </c>
      <c r="F92" s="2" t="s">
        <v>16</v>
      </c>
      <c r="G92" s="2" t="s">
        <v>25</v>
      </c>
      <c r="H92" s="3">
        <v>60649</v>
      </c>
      <c r="I92" s="3">
        <v>63972</v>
      </c>
      <c r="J92" s="4">
        <f t="shared" si="4"/>
        <v>63972</v>
      </c>
      <c r="K92" s="5" t="str">
        <f t="shared" si="5"/>
        <v>Round-2 PDF</v>
      </c>
    </row>
    <row r="93" spans="1:11" x14ac:dyDescent="0.2">
      <c r="A93" s="2" t="s">
        <v>47</v>
      </c>
      <c r="B93" s="2" t="s">
        <v>48</v>
      </c>
      <c r="C93" s="2" t="s">
        <v>49</v>
      </c>
      <c r="D93" s="2" t="s">
        <v>14</v>
      </c>
      <c r="E93" s="2" t="s">
        <v>15</v>
      </c>
      <c r="F93" s="2" t="s">
        <v>26</v>
      </c>
      <c r="G93" s="2" t="s">
        <v>22</v>
      </c>
      <c r="H93" s="3">
        <v>27670</v>
      </c>
      <c r="I93" s="3"/>
      <c r="J93" s="6">
        <f t="shared" si="4"/>
        <v>27670</v>
      </c>
      <c r="K93" s="5" t="str">
        <f t="shared" si="5"/>
        <v>Fallback to Round-1 PDF</v>
      </c>
    </row>
    <row r="94" spans="1:11" x14ac:dyDescent="0.2">
      <c r="A94" s="2" t="s">
        <v>50</v>
      </c>
      <c r="B94" s="2" t="s">
        <v>51</v>
      </c>
      <c r="C94" s="2" t="s">
        <v>49</v>
      </c>
      <c r="D94" s="2" t="s">
        <v>14</v>
      </c>
      <c r="E94" s="2" t="s">
        <v>29</v>
      </c>
      <c r="F94" s="2" t="s">
        <v>16</v>
      </c>
      <c r="G94" s="2" t="s">
        <v>17</v>
      </c>
      <c r="H94" s="3">
        <v>8557</v>
      </c>
      <c r="I94" s="3">
        <v>10659</v>
      </c>
      <c r="J94" s="4">
        <f t="shared" si="4"/>
        <v>10659</v>
      </c>
      <c r="K94" s="5" t="str">
        <f t="shared" si="5"/>
        <v>Round-2 PDF</v>
      </c>
    </row>
    <row r="95" spans="1:11" x14ac:dyDescent="0.2">
      <c r="A95" s="2" t="s">
        <v>50</v>
      </c>
      <c r="B95" s="2" t="s">
        <v>51</v>
      </c>
      <c r="C95" s="2" t="s">
        <v>49</v>
      </c>
      <c r="D95" s="2" t="s">
        <v>14</v>
      </c>
      <c r="E95" s="2" t="s">
        <v>29</v>
      </c>
      <c r="F95" s="2" t="s">
        <v>16</v>
      </c>
      <c r="G95" s="2" t="s">
        <v>18</v>
      </c>
      <c r="H95" s="3">
        <v>5127</v>
      </c>
      <c r="I95" s="3">
        <v>9321</v>
      </c>
      <c r="J95" s="4">
        <f t="shared" si="4"/>
        <v>9321</v>
      </c>
      <c r="K95" s="5" t="str">
        <f t="shared" si="5"/>
        <v>Round-2 PDF</v>
      </c>
    </row>
    <row r="96" spans="1:11" x14ac:dyDescent="0.2">
      <c r="A96" s="2" t="s">
        <v>50</v>
      </c>
      <c r="B96" s="2" t="s">
        <v>51</v>
      </c>
      <c r="C96" s="2" t="s">
        <v>49</v>
      </c>
      <c r="D96" s="2" t="s">
        <v>14</v>
      </c>
      <c r="E96" s="2" t="s">
        <v>29</v>
      </c>
      <c r="F96" s="2" t="s">
        <v>16</v>
      </c>
      <c r="G96" s="2" t="s">
        <v>19</v>
      </c>
      <c r="H96" s="3">
        <v>10708</v>
      </c>
      <c r="I96" s="3">
        <v>11956</v>
      </c>
      <c r="J96" s="4">
        <f t="shared" si="4"/>
        <v>11956</v>
      </c>
      <c r="K96" s="5" t="str">
        <f t="shared" si="5"/>
        <v>Round-2 PDF</v>
      </c>
    </row>
    <row r="97" spans="1:11" x14ac:dyDescent="0.2">
      <c r="A97" s="2" t="s">
        <v>50</v>
      </c>
      <c r="B97" s="2" t="s">
        <v>51</v>
      </c>
      <c r="C97" s="2" t="s">
        <v>49</v>
      </c>
      <c r="D97" s="2" t="s">
        <v>14</v>
      </c>
      <c r="E97" s="2" t="s">
        <v>29</v>
      </c>
      <c r="F97" s="2" t="s">
        <v>16</v>
      </c>
      <c r="G97" s="2" t="s">
        <v>20</v>
      </c>
      <c r="H97" s="3">
        <v>6973</v>
      </c>
      <c r="I97" s="3">
        <v>10708</v>
      </c>
      <c r="J97" s="4">
        <f t="shared" si="4"/>
        <v>10708</v>
      </c>
      <c r="K97" s="5" t="str">
        <f t="shared" si="5"/>
        <v>Round-2 PDF</v>
      </c>
    </row>
    <row r="98" spans="1:11" x14ac:dyDescent="0.2">
      <c r="A98" s="2" t="s">
        <v>50</v>
      </c>
      <c r="B98" s="2" t="s">
        <v>51</v>
      </c>
      <c r="C98" s="2" t="s">
        <v>49</v>
      </c>
      <c r="D98" s="2" t="s">
        <v>14</v>
      </c>
      <c r="E98" s="2" t="s">
        <v>29</v>
      </c>
      <c r="F98" s="2" t="s">
        <v>16</v>
      </c>
      <c r="G98" s="2" t="s">
        <v>22</v>
      </c>
      <c r="H98" s="3">
        <v>5252</v>
      </c>
      <c r="I98" s="3">
        <v>8685</v>
      </c>
      <c r="J98" s="4">
        <f t="shared" ref="J98:J129" si="6">IF(I98&lt;&gt;"",I98,H98)</f>
        <v>8685</v>
      </c>
      <c r="K98" s="5" t="str">
        <f t="shared" ref="K98:K129" si="7">IF(I98&lt;&gt;"","Round-2 PDF","Fallback to Round-1 PDF")</f>
        <v>Round-2 PDF</v>
      </c>
    </row>
    <row r="99" spans="1:11" x14ac:dyDescent="0.2">
      <c r="A99" s="2" t="s">
        <v>50</v>
      </c>
      <c r="B99" s="2" t="s">
        <v>51</v>
      </c>
      <c r="C99" s="2" t="s">
        <v>49</v>
      </c>
      <c r="D99" s="2" t="s">
        <v>14</v>
      </c>
      <c r="E99" s="2" t="s">
        <v>29</v>
      </c>
      <c r="F99" s="2" t="s">
        <v>16</v>
      </c>
      <c r="G99" s="2" t="s">
        <v>23</v>
      </c>
      <c r="H99" s="3">
        <v>10091</v>
      </c>
      <c r="I99" s="3">
        <v>11919</v>
      </c>
      <c r="J99" s="4">
        <f t="shared" si="6"/>
        <v>11919</v>
      </c>
      <c r="K99" s="5" t="str">
        <f t="shared" si="7"/>
        <v>Round-2 PDF</v>
      </c>
    </row>
    <row r="100" spans="1:11" x14ac:dyDescent="0.2">
      <c r="A100" s="2" t="s">
        <v>50</v>
      </c>
      <c r="B100" s="2" t="s">
        <v>51</v>
      </c>
      <c r="C100" s="2" t="s">
        <v>49</v>
      </c>
      <c r="D100" s="2" t="s">
        <v>14</v>
      </c>
      <c r="E100" s="2" t="s">
        <v>29</v>
      </c>
      <c r="F100" s="2" t="s">
        <v>16</v>
      </c>
      <c r="G100" s="2" t="s">
        <v>24</v>
      </c>
      <c r="H100" s="3">
        <v>11217</v>
      </c>
      <c r="I100" s="3">
        <v>13531</v>
      </c>
      <c r="J100" s="4">
        <f t="shared" si="6"/>
        <v>13531</v>
      </c>
      <c r="K100" s="5" t="str">
        <f t="shared" si="7"/>
        <v>Round-2 PDF</v>
      </c>
    </row>
    <row r="101" spans="1:11" x14ac:dyDescent="0.2">
      <c r="A101" s="2" t="s">
        <v>50</v>
      </c>
      <c r="B101" s="2" t="s">
        <v>51</v>
      </c>
      <c r="C101" s="2" t="s">
        <v>49</v>
      </c>
      <c r="D101" s="2" t="s">
        <v>14</v>
      </c>
      <c r="E101" s="2" t="s">
        <v>29</v>
      </c>
      <c r="F101" s="2" t="s">
        <v>16</v>
      </c>
      <c r="G101" s="2" t="s">
        <v>25</v>
      </c>
      <c r="H101" s="3">
        <v>10584</v>
      </c>
      <c r="I101" s="3">
        <v>14128</v>
      </c>
      <c r="J101" s="4">
        <f t="shared" si="6"/>
        <v>14128</v>
      </c>
      <c r="K101" s="5" t="str">
        <f t="shared" si="7"/>
        <v>Round-2 PDF</v>
      </c>
    </row>
    <row r="102" spans="1:11" x14ac:dyDescent="0.2">
      <c r="A102" s="2" t="s">
        <v>52</v>
      </c>
      <c r="B102" s="2" t="s">
        <v>53</v>
      </c>
      <c r="C102" s="2" t="s">
        <v>49</v>
      </c>
      <c r="D102" s="2" t="s">
        <v>32</v>
      </c>
      <c r="E102" s="2" t="s">
        <v>15</v>
      </c>
      <c r="F102" s="2" t="s">
        <v>16</v>
      </c>
      <c r="G102" s="2" t="s">
        <v>18</v>
      </c>
      <c r="H102" s="3">
        <v>102477</v>
      </c>
      <c r="I102" s="3">
        <v>60647</v>
      </c>
      <c r="J102" s="4">
        <f t="shared" si="6"/>
        <v>60647</v>
      </c>
      <c r="K102" s="5" t="str">
        <f t="shared" si="7"/>
        <v>Round-2 PDF</v>
      </c>
    </row>
    <row r="103" spans="1:11" x14ac:dyDescent="0.2">
      <c r="A103" s="2" t="s">
        <v>52</v>
      </c>
      <c r="B103" s="2" t="s">
        <v>53</v>
      </c>
      <c r="C103" s="2" t="s">
        <v>49</v>
      </c>
      <c r="D103" s="2" t="s">
        <v>32</v>
      </c>
      <c r="E103" s="2" t="s">
        <v>15</v>
      </c>
      <c r="F103" s="2" t="s">
        <v>16</v>
      </c>
      <c r="G103" s="2" t="s">
        <v>22</v>
      </c>
      <c r="H103" s="3">
        <v>56259</v>
      </c>
      <c r="I103" s="3">
        <v>56259</v>
      </c>
      <c r="J103" s="4">
        <f t="shared" si="6"/>
        <v>56259</v>
      </c>
      <c r="K103" s="5" t="str">
        <f t="shared" si="7"/>
        <v>Round-2 PDF</v>
      </c>
    </row>
    <row r="104" spans="1:11" x14ac:dyDescent="0.2">
      <c r="A104" s="2" t="s">
        <v>52</v>
      </c>
      <c r="B104" s="2" t="s">
        <v>53</v>
      </c>
      <c r="C104" s="2" t="s">
        <v>49</v>
      </c>
      <c r="D104" s="2" t="s">
        <v>32</v>
      </c>
      <c r="E104" s="2" t="s">
        <v>15</v>
      </c>
      <c r="F104" s="2" t="s">
        <v>16</v>
      </c>
      <c r="G104" s="2" t="s">
        <v>25</v>
      </c>
      <c r="H104" s="3">
        <v>256763</v>
      </c>
      <c r="I104" s="3">
        <v>256763</v>
      </c>
      <c r="J104" s="4">
        <f t="shared" si="6"/>
        <v>256763</v>
      </c>
      <c r="K104" s="5" t="str">
        <f t="shared" si="7"/>
        <v>Round-2 PDF</v>
      </c>
    </row>
    <row r="105" spans="1:11" x14ac:dyDescent="0.2">
      <c r="A105" s="2" t="s">
        <v>54</v>
      </c>
      <c r="B105" s="2" t="s">
        <v>55</v>
      </c>
      <c r="C105" s="2" t="s">
        <v>49</v>
      </c>
      <c r="D105" s="2" t="s">
        <v>35</v>
      </c>
      <c r="E105" s="2" t="s">
        <v>15</v>
      </c>
      <c r="F105" s="2" t="s">
        <v>16</v>
      </c>
      <c r="G105" s="2" t="s">
        <v>18</v>
      </c>
      <c r="H105" s="3">
        <v>327036</v>
      </c>
      <c r="I105" s="3">
        <v>327036</v>
      </c>
      <c r="J105" s="4">
        <f t="shared" si="6"/>
        <v>327036</v>
      </c>
      <c r="K105" s="5" t="str">
        <f t="shared" si="7"/>
        <v>Round-2 PDF</v>
      </c>
    </row>
    <row r="106" spans="1:11" x14ac:dyDescent="0.2">
      <c r="A106" s="2" t="s">
        <v>54</v>
      </c>
      <c r="B106" s="2" t="s">
        <v>55</v>
      </c>
      <c r="C106" s="2" t="s">
        <v>49</v>
      </c>
      <c r="D106" s="2" t="s">
        <v>35</v>
      </c>
      <c r="E106" s="2" t="s">
        <v>15</v>
      </c>
      <c r="F106" s="2" t="s">
        <v>16</v>
      </c>
      <c r="G106" s="2" t="s">
        <v>22</v>
      </c>
      <c r="H106" s="3">
        <v>305705</v>
      </c>
      <c r="I106" s="3">
        <v>305705</v>
      </c>
      <c r="J106" s="4">
        <f t="shared" si="6"/>
        <v>305705</v>
      </c>
      <c r="K106" s="5" t="str">
        <f t="shared" si="7"/>
        <v>Round-2 PDF</v>
      </c>
    </row>
    <row r="107" spans="1:11" x14ac:dyDescent="0.2">
      <c r="A107" s="2" t="s">
        <v>56</v>
      </c>
      <c r="B107" s="2" t="s">
        <v>57</v>
      </c>
      <c r="C107" s="2" t="s">
        <v>58</v>
      </c>
      <c r="D107" s="2" t="s">
        <v>14</v>
      </c>
      <c r="E107" s="2" t="s">
        <v>15</v>
      </c>
      <c r="F107" s="2" t="s">
        <v>16</v>
      </c>
      <c r="G107" s="2" t="s">
        <v>17</v>
      </c>
      <c r="H107" s="3">
        <v>165771</v>
      </c>
      <c r="I107" s="3">
        <v>184458</v>
      </c>
      <c r="J107" s="4">
        <f t="shared" si="6"/>
        <v>184458</v>
      </c>
      <c r="K107" s="5" t="str">
        <f t="shared" si="7"/>
        <v>Round-2 PDF</v>
      </c>
    </row>
    <row r="108" spans="1:11" x14ac:dyDescent="0.2">
      <c r="A108" s="2" t="s">
        <v>56</v>
      </c>
      <c r="B108" s="2" t="s">
        <v>57</v>
      </c>
      <c r="C108" s="2" t="s">
        <v>58</v>
      </c>
      <c r="D108" s="2" t="s">
        <v>14</v>
      </c>
      <c r="E108" s="2" t="s">
        <v>15</v>
      </c>
      <c r="F108" s="2" t="s">
        <v>16</v>
      </c>
      <c r="G108" s="2" t="s">
        <v>18</v>
      </c>
      <c r="H108" s="3">
        <v>79830</v>
      </c>
      <c r="I108" s="3">
        <v>147261</v>
      </c>
      <c r="J108" s="4">
        <f t="shared" si="6"/>
        <v>147261</v>
      </c>
      <c r="K108" s="5" t="str">
        <f t="shared" si="7"/>
        <v>Round-2 PDF</v>
      </c>
    </row>
    <row r="109" spans="1:11" x14ac:dyDescent="0.2">
      <c r="A109" s="2" t="s">
        <v>56</v>
      </c>
      <c r="B109" s="2" t="s">
        <v>57</v>
      </c>
      <c r="C109" s="2" t="s">
        <v>58</v>
      </c>
      <c r="D109" s="2" t="s">
        <v>14</v>
      </c>
      <c r="E109" s="2" t="s">
        <v>15</v>
      </c>
      <c r="F109" s="2" t="s">
        <v>16</v>
      </c>
      <c r="G109" s="2" t="s">
        <v>19</v>
      </c>
      <c r="H109" s="3">
        <v>199264</v>
      </c>
      <c r="I109" s="3">
        <v>248487</v>
      </c>
      <c r="J109" s="4">
        <f t="shared" si="6"/>
        <v>248487</v>
      </c>
      <c r="K109" s="5" t="str">
        <f t="shared" si="7"/>
        <v>Round-2 PDF</v>
      </c>
    </row>
    <row r="110" spans="1:11" x14ac:dyDescent="0.2">
      <c r="A110" s="2" t="s">
        <v>56</v>
      </c>
      <c r="B110" s="2" t="s">
        <v>57</v>
      </c>
      <c r="C110" s="2" t="s">
        <v>58</v>
      </c>
      <c r="D110" s="2" t="s">
        <v>14</v>
      </c>
      <c r="E110" s="2" t="s">
        <v>15</v>
      </c>
      <c r="F110" s="2" t="s">
        <v>16</v>
      </c>
      <c r="G110" s="2" t="s">
        <v>20</v>
      </c>
      <c r="H110" s="3">
        <v>170982</v>
      </c>
      <c r="I110" s="3">
        <v>188698</v>
      </c>
      <c r="J110" s="4">
        <f t="shared" si="6"/>
        <v>188698</v>
      </c>
      <c r="K110" s="5" t="str">
        <f t="shared" si="7"/>
        <v>Round-2 PDF</v>
      </c>
    </row>
    <row r="111" spans="1:11" x14ac:dyDescent="0.2">
      <c r="A111" s="2" t="s">
        <v>56</v>
      </c>
      <c r="B111" s="2" t="s">
        <v>57</v>
      </c>
      <c r="C111" s="2" t="s">
        <v>58</v>
      </c>
      <c r="D111" s="2" t="s">
        <v>14</v>
      </c>
      <c r="E111" s="2" t="s">
        <v>15</v>
      </c>
      <c r="F111" s="2" t="s">
        <v>16</v>
      </c>
      <c r="G111" s="2" t="s">
        <v>21</v>
      </c>
      <c r="H111" s="3">
        <v>178256</v>
      </c>
      <c r="I111" s="3">
        <v>208521</v>
      </c>
      <c r="J111" s="4">
        <f t="shared" si="6"/>
        <v>208521</v>
      </c>
      <c r="K111" s="5" t="str">
        <f t="shared" si="7"/>
        <v>Round-2 PDF</v>
      </c>
    </row>
    <row r="112" spans="1:11" x14ac:dyDescent="0.2">
      <c r="A112" s="2" t="s">
        <v>56</v>
      </c>
      <c r="B112" s="2" t="s">
        <v>57</v>
      </c>
      <c r="C112" s="2" t="s">
        <v>58</v>
      </c>
      <c r="D112" s="2" t="s">
        <v>14</v>
      </c>
      <c r="E112" s="2" t="s">
        <v>15</v>
      </c>
      <c r="F112" s="2" t="s">
        <v>16</v>
      </c>
      <c r="G112" s="2" t="s">
        <v>22</v>
      </c>
      <c r="H112" s="3">
        <v>109168</v>
      </c>
      <c r="I112" s="3">
        <v>161746</v>
      </c>
      <c r="J112" s="4">
        <f t="shared" si="6"/>
        <v>161746</v>
      </c>
      <c r="K112" s="5" t="str">
        <f t="shared" si="7"/>
        <v>Round-2 PDF</v>
      </c>
    </row>
    <row r="113" spans="1:11" x14ac:dyDescent="0.2">
      <c r="A113" s="2" t="s">
        <v>56</v>
      </c>
      <c r="B113" s="2" t="s">
        <v>57</v>
      </c>
      <c r="C113" s="2" t="s">
        <v>58</v>
      </c>
      <c r="D113" s="2" t="s">
        <v>14</v>
      </c>
      <c r="E113" s="2" t="s">
        <v>15</v>
      </c>
      <c r="F113" s="2" t="s">
        <v>16</v>
      </c>
      <c r="G113" s="2" t="s">
        <v>23</v>
      </c>
      <c r="H113" s="3">
        <v>186117</v>
      </c>
      <c r="I113" s="3">
        <v>265473</v>
      </c>
      <c r="J113" s="4">
        <f t="shared" si="6"/>
        <v>265473</v>
      </c>
      <c r="K113" s="5" t="str">
        <f t="shared" si="7"/>
        <v>Round-2 PDF</v>
      </c>
    </row>
    <row r="114" spans="1:11" x14ac:dyDescent="0.2">
      <c r="A114" s="2" t="s">
        <v>56</v>
      </c>
      <c r="B114" s="2" t="s">
        <v>57</v>
      </c>
      <c r="C114" s="2" t="s">
        <v>58</v>
      </c>
      <c r="D114" s="2" t="s">
        <v>14</v>
      </c>
      <c r="E114" s="2" t="s">
        <v>15</v>
      </c>
      <c r="F114" s="2" t="s">
        <v>16</v>
      </c>
      <c r="G114" s="2" t="s">
        <v>24</v>
      </c>
      <c r="H114" s="3">
        <v>202142</v>
      </c>
      <c r="I114" s="3">
        <v>212723</v>
      </c>
      <c r="J114" s="4">
        <f t="shared" si="6"/>
        <v>212723</v>
      </c>
      <c r="K114" s="5" t="str">
        <f t="shared" si="7"/>
        <v>Round-2 PDF</v>
      </c>
    </row>
    <row r="115" spans="1:11" x14ac:dyDescent="0.2">
      <c r="A115" s="2" t="s">
        <v>56</v>
      </c>
      <c r="B115" s="2" t="s">
        <v>57</v>
      </c>
      <c r="C115" s="2" t="s">
        <v>58</v>
      </c>
      <c r="D115" s="2" t="s">
        <v>14</v>
      </c>
      <c r="E115" s="2" t="s">
        <v>15</v>
      </c>
      <c r="F115" s="2" t="s">
        <v>16</v>
      </c>
      <c r="G115" s="2" t="s">
        <v>25</v>
      </c>
      <c r="H115" s="3">
        <v>249271</v>
      </c>
      <c r="I115" s="3">
        <v>275349</v>
      </c>
      <c r="J115" s="4">
        <f t="shared" si="6"/>
        <v>275349</v>
      </c>
      <c r="K115" s="5" t="str">
        <f t="shared" si="7"/>
        <v>Round-2 PDF</v>
      </c>
    </row>
    <row r="116" spans="1:11" x14ac:dyDescent="0.2">
      <c r="A116" s="2" t="s">
        <v>59</v>
      </c>
      <c r="B116" s="2" t="s">
        <v>60</v>
      </c>
      <c r="C116" s="2" t="s">
        <v>58</v>
      </c>
      <c r="D116" s="2" t="s">
        <v>14</v>
      </c>
      <c r="E116" s="2" t="s">
        <v>29</v>
      </c>
      <c r="F116" s="2" t="s">
        <v>16</v>
      </c>
      <c r="G116" s="2" t="s">
        <v>17</v>
      </c>
      <c r="H116" s="3">
        <v>49984</v>
      </c>
      <c r="I116" s="3">
        <v>60886</v>
      </c>
      <c r="J116" s="4">
        <f t="shared" si="6"/>
        <v>60886</v>
      </c>
      <c r="K116" s="5" t="str">
        <f t="shared" si="7"/>
        <v>Round-2 PDF</v>
      </c>
    </row>
    <row r="117" spans="1:11" x14ac:dyDescent="0.2">
      <c r="A117" s="2" t="s">
        <v>59</v>
      </c>
      <c r="B117" s="2" t="s">
        <v>60</v>
      </c>
      <c r="C117" s="2" t="s">
        <v>58</v>
      </c>
      <c r="D117" s="2" t="s">
        <v>14</v>
      </c>
      <c r="E117" s="2" t="s">
        <v>29</v>
      </c>
      <c r="F117" s="2" t="s">
        <v>16</v>
      </c>
      <c r="G117" s="2" t="s">
        <v>18</v>
      </c>
      <c r="H117" s="3">
        <v>29955</v>
      </c>
      <c r="I117" s="3">
        <v>49550</v>
      </c>
      <c r="J117" s="4">
        <f t="shared" si="6"/>
        <v>49550</v>
      </c>
      <c r="K117" s="5" t="str">
        <f t="shared" si="7"/>
        <v>Round-2 PDF</v>
      </c>
    </row>
    <row r="118" spans="1:11" x14ac:dyDescent="0.2">
      <c r="A118" s="2" t="s">
        <v>59</v>
      </c>
      <c r="B118" s="2" t="s">
        <v>60</v>
      </c>
      <c r="C118" s="2" t="s">
        <v>58</v>
      </c>
      <c r="D118" s="2" t="s">
        <v>14</v>
      </c>
      <c r="E118" s="2" t="s">
        <v>29</v>
      </c>
      <c r="F118" s="2" t="s">
        <v>16</v>
      </c>
      <c r="G118" s="2" t="s">
        <v>19</v>
      </c>
      <c r="H118" s="3">
        <v>71309</v>
      </c>
      <c r="I118" s="3">
        <v>71309</v>
      </c>
      <c r="J118" s="4">
        <f t="shared" si="6"/>
        <v>71309</v>
      </c>
      <c r="K118" s="5" t="str">
        <f t="shared" si="7"/>
        <v>Round-2 PDF</v>
      </c>
    </row>
    <row r="119" spans="1:11" x14ac:dyDescent="0.2">
      <c r="A119" s="2" t="s">
        <v>59</v>
      </c>
      <c r="B119" s="2" t="s">
        <v>60</v>
      </c>
      <c r="C119" s="2" t="s">
        <v>58</v>
      </c>
      <c r="D119" s="2" t="s">
        <v>14</v>
      </c>
      <c r="E119" s="2" t="s">
        <v>29</v>
      </c>
      <c r="F119" s="2" t="s">
        <v>16</v>
      </c>
      <c r="G119" s="2" t="s">
        <v>20</v>
      </c>
      <c r="H119" s="3">
        <v>50852</v>
      </c>
      <c r="I119" s="3">
        <v>65377</v>
      </c>
      <c r="J119" s="4">
        <f t="shared" si="6"/>
        <v>65377</v>
      </c>
      <c r="K119" s="5" t="str">
        <f t="shared" si="7"/>
        <v>Round-2 PDF</v>
      </c>
    </row>
    <row r="120" spans="1:11" x14ac:dyDescent="0.2">
      <c r="A120" s="2" t="s">
        <v>59</v>
      </c>
      <c r="B120" s="2" t="s">
        <v>60</v>
      </c>
      <c r="C120" s="2" t="s">
        <v>58</v>
      </c>
      <c r="D120" s="2" t="s">
        <v>14</v>
      </c>
      <c r="E120" s="2" t="s">
        <v>29</v>
      </c>
      <c r="F120" s="2" t="s">
        <v>16</v>
      </c>
      <c r="G120" s="2" t="s">
        <v>22</v>
      </c>
      <c r="H120" s="3">
        <v>44134</v>
      </c>
      <c r="I120" s="3">
        <v>58531</v>
      </c>
      <c r="J120" s="4">
        <f t="shared" si="6"/>
        <v>58531</v>
      </c>
      <c r="K120" s="5" t="str">
        <f t="shared" si="7"/>
        <v>Round-2 PDF</v>
      </c>
    </row>
    <row r="121" spans="1:11" x14ac:dyDescent="0.2">
      <c r="A121" s="2" t="s">
        <v>59</v>
      </c>
      <c r="B121" s="2" t="s">
        <v>60</v>
      </c>
      <c r="C121" s="2" t="s">
        <v>58</v>
      </c>
      <c r="D121" s="2" t="s">
        <v>14</v>
      </c>
      <c r="E121" s="2" t="s">
        <v>29</v>
      </c>
      <c r="F121" s="2" t="s">
        <v>16</v>
      </c>
      <c r="G121" s="2" t="s">
        <v>23</v>
      </c>
      <c r="H121" s="3">
        <v>68362</v>
      </c>
      <c r="I121" s="3">
        <v>75651</v>
      </c>
      <c r="J121" s="4">
        <f t="shared" si="6"/>
        <v>75651</v>
      </c>
      <c r="K121" s="5" t="str">
        <f t="shared" si="7"/>
        <v>Round-2 PDF</v>
      </c>
    </row>
    <row r="122" spans="1:11" x14ac:dyDescent="0.2">
      <c r="A122" s="2" t="s">
        <v>59</v>
      </c>
      <c r="B122" s="2" t="s">
        <v>60</v>
      </c>
      <c r="C122" s="2" t="s">
        <v>58</v>
      </c>
      <c r="D122" s="2" t="s">
        <v>14</v>
      </c>
      <c r="E122" s="2" t="s">
        <v>29</v>
      </c>
      <c r="F122" s="2" t="s">
        <v>16</v>
      </c>
      <c r="G122" s="2" t="s">
        <v>24</v>
      </c>
      <c r="H122" s="3">
        <v>64321</v>
      </c>
      <c r="I122" s="3">
        <v>77063</v>
      </c>
      <c r="J122" s="4">
        <f t="shared" si="6"/>
        <v>77063</v>
      </c>
      <c r="K122" s="5" t="str">
        <f t="shared" si="7"/>
        <v>Round-2 PDF</v>
      </c>
    </row>
    <row r="123" spans="1:11" x14ac:dyDescent="0.2">
      <c r="A123" s="2" t="s">
        <v>59</v>
      </c>
      <c r="B123" s="2" t="s">
        <v>60</v>
      </c>
      <c r="C123" s="2" t="s">
        <v>58</v>
      </c>
      <c r="D123" s="2" t="s">
        <v>14</v>
      </c>
      <c r="E123" s="2" t="s">
        <v>29</v>
      </c>
      <c r="F123" s="2" t="s">
        <v>16</v>
      </c>
      <c r="G123" s="2" t="s">
        <v>25</v>
      </c>
      <c r="H123" s="3">
        <v>74741</v>
      </c>
      <c r="I123" s="3">
        <v>85420</v>
      </c>
      <c r="J123" s="4">
        <f t="shared" si="6"/>
        <v>85420</v>
      </c>
      <c r="K123" s="5" t="str">
        <f t="shared" si="7"/>
        <v>Round-2 PDF</v>
      </c>
    </row>
    <row r="124" spans="1:11" x14ac:dyDescent="0.2">
      <c r="A124" s="2" t="s">
        <v>61</v>
      </c>
      <c r="B124" s="2" t="s">
        <v>62</v>
      </c>
      <c r="C124" s="2" t="s">
        <v>58</v>
      </c>
      <c r="D124" s="2" t="s">
        <v>32</v>
      </c>
      <c r="E124" s="2" t="s">
        <v>15</v>
      </c>
      <c r="F124" s="2" t="s">
        <v>16</v>
      </c>
      <c r="G124" s="2" t="s">
        <v>17</v>
      </c>
      <c r="H124" s="3">
        <v>550673</v>
      </c>
      <c r="I124" s="3"/>
      <c r="J124" s="6">
        <f t="shared" si="6"/>
        <v>550673</v>
      </c>
      <c r="K124" s="5" t="str">
        <f t="shared" si="7"/>
        <v>Fallback to Round-1 PDF</v>
      </c>
    </row>
    <row r="125" spans="1:11" x14ac:dyDescent="0.2">
      <c r="A125" s="2" t="s">
        <v>61</v>
      </c>
      <c r="B125" s="2" t="s">
        <v>62</v>
      </c>
      <c r="C125" s="2" t="s">
        <v>58</v>
      </c>
      <c r="D125" s="2" t="s">
        <v>32</v>
      </c>
      <c r="E125" s="2" t="s">
        <v>15</v>
      </c>
      <c r="F125" s="2" t="s">
        <v>16</v>
      </c>
      <c r="G125" s="2" t="s">
        <v>19</v>
      </c>
      <c r="H125" s="3">
        <v>631388</v>
      </c>
      <c r="I125" s="3"/>
      <c r="J125" s="6">
        <f t="shared" si="6"/>
        <v>631388</v>
      </c>
      <c r="K125" s="5" t="str">
        <f t="shared" si="7"/>
        <v>Fallback to Round-1 PDF</v>
      </c>
    </row>
    <row r="126" spans="1:11" x14ac:dyDescent="0.2">
      <c r="A126" s="2" t="s">
        <v>61</v>
      </c>
      <c r="B126" s="2" t="s">
        <v>62</v>
      </c>
      <c r="C126" s="2" t="s">
        <v>58</v>
      </c>
      <c r="D126" s="2" t="s">
        <v>32</v>
      </c>
      <c r="E126" s="2" t="s">
        <v>15</v>
      </c>
      <c r="F126" s="2" t="s">
        <v>16</v>
      </c>
      <c r="G126" s="2" t="s">
        <v>22</v>
      </c>
      <c r="H126" s="3">
        <v>152965</v>
      </c>
      <c r="I126" s="3">
        <v>242191</v>
      </c>
      <c r="J126" s="4">
        <f t="shared" si="6"/>
        <v>242191</v>
      </c>
      <c r="K126" s="5" t="str">
        <f t="shared" si="7"/>
        <v>Round-2 PDF</v>
      </c>
    </row>
    <row r="127" spans="1:11" x14ac:dyDescent="0.2">
      <c r="A127" s="2" t="s">
        <v>63</v>
      </c>
      <c r="B127" s="2" t="s">
        <v>64</v>
      </c>
      <c r="C127" s="2" t="s">
        <v>65</v>
      </c>
      <c r="D127" s="2" t="s">
        <v>14</v>
      </c>
      <c r="E127" s="2" t="s">
        <v>15</v>
      </c>
      <c r="F127" s="2" t="s">
        <v>16</v>
      </c>
      <c r="G127" s="2" t="s">
        <v>17</v>
      </c>
      <c r="H127" s="3">
        <v>776601</v>
      </c>
      <c r="I127" s="3">
        <v>776601</v>
      </c>
      <c r="J127" s="4">
        <f t="shared" si="6"/>
        <v>776601</v>
      </c>
      <c r="K127" s="5" t="str">
        <f t="shared" si="7"/>
        <v>Round-2 PDF</v>
      </c>
    </row>
    <row r="128" spans="1:11" x14ac:dyDescent="0.2">
      <c r="A128" s="2" t="s">
        <v>63</v>
      </c>
      <c r="B128" s="2" t="s">
        <v>64</v>
      </c>
      <c r="C128" s="2" t="s">
        <v>65</v>
      </c>
      <c r="D128" s="2" t="s">
        <v>14</v>
      </c>
      <c r="E128" s="2" t="s">
        <v>15</v>
      </c>
      <c r="F128" s="2" t="s">
        <v>16</v>
      </c>
      <c r="G128" s="2" t="s">
        <v>18</v>
      </c>
      <c r="H128" s="3">
        <v>563577</v>
      </c>
      <c r="I128" s="3">
        <v>563577</v>
      </c>
      <c r="J128" s="4">
        <f t="shared" si="6"/>
        <v>563577</v>
      </c>
      <c r="K128" s="5" t="str">
        <f t="shared" si="7"/>
        <v>Round-2 PDF</v>
      </c>
    </row>
    <row r="129" spans="1:11" x14ac:dyDescent="0.2">
      <c r="A129" s="2" t="s">
        <v>63</v>
      </c>
      <c r="B129" s="2" t="s">
        <v>64</v>
      </c>
      <c r="C129" s="2" t="s">
        <v>65</v>
      </c>
      <c r="D129" s="2" t="s">
        <v>14</v>
      </c>
      <c r="E129" s="2" t="s">
        <v>15</v>
      </c>
      <c r="F129" s="2" t="s">
        <v>16</v>
      </c>
      <c r="G129" s="2" t="s">
        <v>19</v>
      </c>
      <c r="H129" s="3">
        <v>1133911</v>
      </c>
      <c r="I129" s="3"/>
      <c r="J129" s="6">
        <f t="shared" si="6"/>
        <v>1133911</v>
      </c>
      <c r="K129" s="5" t="str">
        <f t="shared" si="7"/>
        <v>Fallback to Round-1 PDF</v>
      </c>
    </row>
    <row r="130" spans="1:11" x14ac:dyDescent="0.2">
      <c r="A130" s="2" t="s">
        <v>63</v>
      </c>
      <c r="B130" s="2" t="s">
        <v>64</v>
      </c>
      <c r="C130" s="2" t="s">
        <v>65</v>
      </c>
      <c r="D130" s="2" t="s">
        <v>14</v>
      </c>
      <c r="E130" s="2" t="s">
        <v>15</v>
      </c>
      <c r="F130" s="2" t="s">
        <v>16</v>
      </c>
      <c r="G130" s="2" t="s">
        <v>20</v>
      </c>
      <c r="H130" s="3">
        <v>960804</v>
      </c>
      <c r="I130" s="3">
        <v>1092371</v>
      </c>
      <c r="J130" s="4">
        <f t="shared" ref="J130:J161" si="8">IF(I130&lt;&gt;"",I130,H130)</f>
        <v>1092371</v>
      </c>
      <c r="K130" s="5" t="str">
        <f t="shared" ref="K130:K145" si="9">IF(I130&lt;&gt;"","Round-2 PDF","Fallback to Round-1 PDF")</f>
        <v>Round-2 PDF</v>
      </c>
    </row>
    <row r="131" spans="1:11" x14ac:dyDescent="0.2">
      <c r="A131" s="2" t="s">
        <v>63</v>
      </c>
      <c r="B131" s="2" t="s">
        <v>64</v>
      </c>
      <c r="C131" s="2" t="s">
        <v>65</v>
      </c>
      <c r="D131" s="2" t="s">
        <v>14</v>
      </c>
      <c r="E131" s="2" t="s">
        <v>15</v>
      </c>
      <c r="F131" s="2" t="s">
        <v>16</v>
      </c>
      <c r="G131" s="2" t="s">
        <v>21</v>
      </c>
      <c r="H131" s="3">
        <v>593505</v>
      </c>
      <c r="I131" s="3">
        <v>960804</v>
      </c>
      <c r="J131" s="4">
        <f t="shared" si="8"/>
        <v>960804</v>
      </c>
      <c r="K131" s="5" t="str">
        <f t="shared" si="9"/>
        <v>Round-2 PDF</v>
      </c>
    </row>
    <row r="132" spans="1:11" x14ac:dyDescent="0.2">
      <c r="A132" s="2" t="s">
        <v>63</v>
      </c>
      <c r="B132" s="2" t="s">
        <v>64</v>
      </c>
      <c r="C132" s="2" t="s">
        <v>65</v>
      </c>
      <c r="D132" s="2" t="s">
        <v>14</v>
      </c>
      <c r="E132" s="2" t="s">
        <v>15</v>
      </c>
      <c r="F132" s="2" t="s">
        <v>16</v>
      </c>
      <c r="G132" s="2" t="s">
        <v>22</v>
      </c>
      <c r="H132" s="3">
        <v>333378</v>
      </c>
      <c r="I132" s="3">
        <v>564700</v>
      </c>
      <c r="J132" s="4">
        <f t="shared" si="8"/>
        <v>564700</v>
      </c>
      <c r="K132" s="5" t="str">
        <f t="shared" si="9"/>
        <v>Round-2 PDF</v>
      </c>
    </row>
    <row r="133" spans="1:11" x14ac:dyDescent="0.2">
      <c r="A133" s="2" t="s">
        <v>63</v>
      </c>
      <c r="B133" s="2" t="s">
        <v>64</v>
      </c>
      <c r="C133" s="2" t="s">
        <v>65</v>
      </c>
      <c r="D133" s="2" t="s">
        <v>14</v>
      </c>
      <c r="E133" s="2" t="s">
        <v>15</v>
      </c>
      <c r="F133" s="2" t="s">
        <v>16</v>
      </c>
      <c r="G133" s="2" t="s">
        <v>23</v>
      </c>
      <c r="H133" s="3">
        <v>1092371</v>
      </c>
      <c r="I133" s="3">
        <v>719369</v>
      </c>
      <c r="J133" s="4">
        <f t="shared" si="8"/>
        <v>719369</v>
      </c>
      <c r="K133" s="5" t="str">
        <f t="shared" si="9"/>
        <v>Round-2 PDF</v>
      </c>
    </row>
    <row r="134" spans="1:11" x14ac:dyDescent="0.2">
      <c r="A134" s="2" t="s">
        <v>63</v>
      </c>
      <c r="B134" s="2" t="s">
        <v>64</v>
      </c>
      <c r="C134" s="2" t="s">
        <v>65</v>
      </c>
      <c r="D134" s="2" t="s">
        <v>14</v>
      </c>
      <c r="E134" s="2" t="s">
        <v>15</v>
      </c>
      <c r="F134" s="2" t="s">
        <v>16</v>
      </c>
      <c r="G134" s="2" t="s">
        <v>24</v>
      </c>
      <c r="H134" s="3">
        <v>830181</v>
      </c>
      <c r="I134" s="3">
        <v>830181</v>
      </c>
      <c r="J134" s="4">
        <f t="shared" si="8"/>
        <v>830181</v>
      </c>
      <c r="K134" s="5" t="str">
        <f t="shared" si="9"/>
        <v>Round-2 PDF</v>
      </c>
    </row>
    <row r="135" spans="1:11" x14ac:dyDescent="0.2">
      <c r="A135" s="2" t="s">
        <v>66</v>
      </c>
      <c r="B135" s="2" t="s">
        <v>67</v>
      </c>
      <c r="C135" s="2" t="s">
        <v>65</v>
      </c>
      <c r="D135" s="2" t="s">
        <v>14</v>
      </c>
      <c r="E135" s="2" t="s">
        <v>29</v>
      </c>
      <c r="F135" s="2" t="s">
        <v>16</v>
      </c>
      <c r="G135" s="2" t="s">
        <v>17</v>
      </c>
      <c r="H135" s="3">
        <v>119199</v>
      </c>
      <c r="I135" s="3">
        <v>144515</v>
      </c>
      <c r="J135" s="4">
        <f t="shared" si="8"/>
        <v>144515</v>
      </c>
      <c r="K135" s="5" t="str">
        <f t="shared" si="9"/>
        <v>Round-2 PDF</v>
      </c>
    </row>
    <row r="136" spans="1:11" x14ac:dyDescent="0.2">
      <c r="A136" s="2" t="s">
        <v>66</v>
      </c>
      <c r="B136" s="2" t="s">
        <v>67</v>
      </c>
      <c r="C136" s="2" t="s">
        <v>65</v>
      </c>
      <c r="D136" s="2" t="s">
        <v>14</v>
      </c>
      <c r="E136" s="2" t="s">
        <v>29</v>
      </c>
      <c r="F136" s="2" t="s">
        <v>16</v>
      </c>
      <c r="G136" s="2" t="s">
        <v>18</v>
      </c>
      <c r="H136" s="3">
        <v>104397</v>
      </c>
      <c r="I136" s="3">
        <v>125637</v>
      </c>
      <c r="J136" s="4">
        <f t="shared" si="8"/>
        <v>125637</v>
      </c>
      <c r="K136" s="5" t="str">
        <f t="shared" si="9"/>
        <v>Round-2 PDF</v>
      </c>
    </row>
    <row r="137" spans="1:11" x14ac:dyDescent="0.2">
      <c r="A137" s="2" t="s">
        <v>66</v>
      </c>
      <c r="B137" s="2" t="s">
        <v>67</v>
      </c>
      <c r="C137" s="2" t="s">
        <v>65</v>
      </c>
      <c r="D137" s="2" t="s">
        <v>14</v>
      </c>
      <c r="E137" s="2" t="s">
        <v>29</v>
      </c>
      <c r="F137" s="2" t="s">
        <v>16</v>
      </c>
      <c r="G137" s="2" t="s">
        <v>19</v>
      </c>
      <c r="H137" s="3">
        <v>146363</v>
      </c>
      <c r="I137" s="3">
        <v>146363</v>
      </c>
      <c r="J137" s="4">
        <f t="shared" si="8"/>
        <v>146363</v>
      </c>
      <c r="K137" s="5" t="str">
        <f t="shared" si="9"/>
        <v>Round-2 PDF</v>
      </c>
    </row>
    <row r="138" spans="1:11" x14ac:dyDescent="0.2">
      <c r="A138" s="2" t="s">
        <v>66</v>
      </c>
      <c r="B138" s="2" t="s">
        <v>67</v>
      </c>
      <c r="C138" s="2" t="s">
        <v>65</v>
      </c>
      <c r="D138" s="2" t="s">
        <v>14</v>
      </c>
      <c r="E138" s="2" t="s">
        <v>29</v>
      </c>
      <c r="F138" s="2" t="s">
        <v>16</v>
      </c>
      <c r="G138" s="2" t="s">
        <v>20</v>
      </c>
      <c r="H138" s="3">
        <v>130882</v>
      </c>
      <c r="I138" s="3">
        <v>137206</v>
      </c>
      <c r="J138" s="4">
        <f t="shared" si="8"/>
        <v>137206</v>
      </c>
      <c r="K138" s="5" t="str">
        <f t="shared" si="9"/>
        <v>Round-2 PDF</v>
      </c>
    </row>
    <row r="139" spans="1:11" x14ac:dyDescent="0.2">
      <c r="A139" s="2" t="s">
        <v>66</v>
      </c>
      <c r="B139" s="2" t="s">
        <v>67</v>
      </c>
      <c r="C139" s="2" t="s">
        <v>65</v>
      </c>
      <c r="D139" s="2" t="s">
        <v>14</v>
      </c>
      <c r="E139" s="2" t="s">
        <v>29</v>
      </c>
      <c r="F139" s="2" t="s">
        <v>16</v>
      </c>
      <c r="G139" s="2" t="s">
        <v>21</v>
      </c>
      <c r="H139" s="3">
        <v>19605</v>
      </c>
      <c r="I139" s="3"/>
      <c r="J139" s="6">
        <f t="shared" si="8"/>
        <v>19605</v>
      </c>
      <c r="K139" s="5" t="str">
        <f t="shared" si="9"/>
        <v>Fallback to Round-1 PDF</v>
      </c>
    </row>
    <row r="140" spans="1:11" x14ac:dyDescent="0.2">
      <c r="A140" s="2" t="s">
        <v>66</v>
      </c>
      <c r="B140" s="2" t="s">
        <v>67</v>
      </c>
      <c r="C140" s="2" t="s">
        <v>65</v>
      </c>
      <c r="D140" s="2" t="s">
        <v>14</v>
      </c>
      <c r="E140" s="2" t="s">
        <v>29</v>
      </c>
      <c r="F140" s="2" t="s">
        <v>16</v>
      </c>
      <c r="G140" s="2" t="s">
        <v>22</v>
      </c>
      <c r="H140" s="3">
        <v>162475</v>
      </c>
      <c r="I140" s="3">
        <v>78759</v>
      </c>
      <c r="J140" s="4">
        <f t="shared" si="8"/>
        <v>78759</v>
      </c>
      <c r="K140" s="5" t="str">
        <f t="shared" si="9"/>
        <v>Round-2 PDF</v>
      </c>
    </row>
    <row r="141" spans="1:11" x14ac:dyDescent="0.2">
      <c r="A141" s="2" t="s">
        <v>66</v>
      </c>
      <c r="B141" s="2" t="s">
        <v>67</v>
      </c>
      <c r="C141" s="2" t="s">
        <v>65</v>
      </c>
      <c r="D141" s="2" t="s">
        <v>14</v>
      </c>
      <c r="E141" s="2" t="s">
        <v>29</v>
      </c>
      <c r="F141" s="2" t="s">
        <v>16</v>
      </c>
      <c r="G141" s="2" t="s">
        <v>23</v>
      </c>
      <c r="H141" s="3">
        <v>162475</v>
      </c>
      <c r="I141" s="3">
        <v>145332</v>
      </c>
      <c r="J141" s="4">
        <f t="shared" si="8"/>
        <v>145332</v>
      </c>
      <c r="K141" s="5" t="str">
        <f t="shared" si="9"/>
        <v>Round-2 PDF</v>
      </c>
    </row>
    <row r="142" spans="1:11" x14ac:dyDescent="0.2">
      <c r="A142" s="2" t="s">
        <v>66</v>
      </c>
      <c r="B142" s="2" t="s">
        <v>67</v>
      </c>
      <c r="C142" s="2" t="s">
        <v>65</v>
      </c>
      <c r="D142" s="2" t="s">
        <v>14</v>
      </c>
      <c r="E142" s="2" t="s">
        <v>29</v>
      </c>
      <c r="F142" s="2" t="s">
        <v>16</v>
      </c>
      <c r="G142" s="2" t="s">
        <v>24</v>
      </c>
      <c r="H142" s="3">
        <v>133390</v>
      </c>
      <c r="I142" s="3">
        <v>133390</v>
      </c>
      <c r="J142" s="4">
        <f t="shared" si="8"/>
        <v>133390</v>
      </c>
      <c r="K142" s="5" t="str">
        <f t="shared" si="9"/>
        <v>Round-2 PDF</v>
      </c>
    </row>
    <row r="143" spans="1:11" x14ac:dyDescent="0.2">
      <c r="A143" s="2" t="s">
        <v>66</v>
      </c>
      <c r="B143" s="2" t="s">
        <v>67</v>
      </c>
      <c r="C143" s="2" t="s">
        <v>65</v>
      </c>
      <c r="D143" s="2" t="s">
        <v>14</v>
      </c>
      <c r="E143" s="2" t="s">
        <v>29</v>
      </c>
      <c r="F143" s="2" t="s">
        <v>16</v>
      </c>
      <c r="G143" s="2" t="s">
        <v>25</v>
      </c>
      <c r="H143" s="3">
        <v>149862</v>
      </c>
      <c r="I143" s="3">
        <v>185606</v>
      </c>
      <c r="J143" s="4">
        <f t="shared" si="8"/>
        <v>185606</v>
      </c>
      <c r="K143" s="5" t="str">
        <f t="shared" si="9"/>
        <v>Round-2 PDF</v>
      </c>
    </row>
    <row r="144" spans="1:11" x14ac:dyDescent="0.2">
      <c r="A144" s="2" t="s">
        <v>68</v>
      </c>
      <c r="B144" s="2" t="s">
        <v>69</v>
      </c>
      <c r="C144" s="2" t="s">
        <v>65</v>
      </c>
      <c r="D144" s="2" t="s">
        <v>32</v>
      </c>
      <c r="E144" s="2" t="s">
        <v>15</v>
      </c>
      <c r="F144" s="2" t="s">
        <v>16</v>
      </c>
      <c r="G144" s="2" t="s">
        <v>22</v>
      </c>
      <c r="H144" s="3">
        <v>476260</v>
      </c>
      <c r="I144" s="3"/>
      <c r="J144" s="6">
        <f t="shared" si="8"/>
        <v>476260</v>
      </c>
      <c r="K144" s="5" t="str">
        <f t="shared" si="9"/>
        <v>Fallback to Round-1 PDF</v>
      </c>
    </row>
    <row r="145" spans="1:11" x14ac:dyDescent="0.2">
      <c r="A145" s="2" t="s">
        <v>70</v>
      </c>
      <c r="B145" s="2" t="s">
        <v>71</v>
      </c>
      <c r="C145" s="2" t="s">
        <v>65</v>
      </c>
      <c r="D145" s="2" t="s">
        <v>35</v>
      </c>
      <c r="E145" s="2" t="s">
        <v>15</v>
      </c>
      <c r="F145" s="2" t="s">
        <v>16</v>
      </c>
      <c r="G145" s="2" t="s">
        <v>22</v>
      </c>
      <c r="H145" s="3">
        <v>1360515</v>
      </c>
      <c r="I145" s="3">
        <v>1360515</v>
      </c>
      <c r="J145" s="4">
        <f t="shared" si="8"/>
        <v>1360515</v>
      </c>
      <c r="K145" s="5" t="str">
        <f t="shared" si="9"/>
        <v>Round-2 PDF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48" customWidth="1"/>
    <col min="3" max="3" width="18" customWidth="1"/>
    <col min="4" max="4" width="22" customWidth="1"/>
    <col min="5" max="5" width="18" customWidth="1"/>
    <col min="6" max="6" width="52" customWidth="1"/>
  </cols>
  <sheetData>
    <row r="1" spans="1:6" x14ac:dyDescent="0.2">
      <c r="A1" s="7" t="s">
        <v>0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</row>
    <row r="2" spans="1:6" x14ac:dyDescent="0.2">
      <c r="A2" s="8" t="s">
        <v>11</v>
      </c>
      <c r="B2" s="8" t="s">
        <v>12</v>
      </c>
      <c r="C2" s="8" t="s">
        <v>77</v>
      </c>
      <c r="D2" s="8" t="s">
        <v>77</v>
      </c>
      <c r="E2" s="8" t="s">
        <v>78</v>
      </c>
      <c r="F2" s="8" t="s">
        <v>79</v>
      </c>
    </row>
    <row r="3" spans="1:6" x14ac:dyDescent="0.2">
      <c r="A3" s="8" t="s">
        <v>27</v>
      </c>
      <c r="B3" s="8" t="s">
        <v>28</v>
      </c>
      <c r="C3" s="8" t="s">
        <v>77</v>
      </c>
      <c r="D3" s="8" t="s">
        <v>77</v>
      </c>
      <c r="E3" s="8" t="s">
        <v>80</v>
      </c>
      <c r="F3" s="8" t="s">
        <v>81</v>
      </c>
    </row>
    <row r="4" spans="1:6" x14ac:dyDescent="0.2">
      <c r="A4" s="8" t="s">
        <v>30</v>
      </c>
      <c r="B4" s="8" t="s">
        <v>31</v>
      </c>
      <c r="C4" s="8" t="s">
        <v>77</v>
      </c>
      <c r="D4" s="8" t="s">
        <v>82</v>
      </c>
      <c r="E4" s="8" t="s">
        <v>78</v>
      </c>
      <c r="F4" s="8" t="s">
        <v>83</v>
      </c>
    </row>
    <row r="5" spans="1:6" x14ac:dyDescent="0.2">
      <c r="A5" s="8" t="s">
        <v>33</v>
      </c>
      <c r="B5" s="8" t="s">
        <v>34</v>
      </c>
      <c r="C5" s="8" t="s">
        <v>77</v>
      </c>
      <c r="D5" s="8" t="s">
        <v>84</v>
      </c>
      <c r="E5" s="8" t="s">
        <v>78</v>
      </c>
      <c r="F5" s="8" t="s">
        <v>85</v>
      </c>
    </row>
    <row r="6" spans="1:6" x14ac:dyDescent="0.2">
      <c r="A6" s="8" t="s">
        <v>36</v>
      </c>
      <c r="B6" s="8" t="s">
        <v>37</v>
      </c>
      <c r="C6" s="8" t="s">
        <v>77</v>
      </c>
      <c r="D6" s="8" t="s">
        <v>86</v>
      </c>
      <c r="E6" s="8" t="s">
        <v>39</v>
      </c>
      <c r="F6" s="8" t="s">
        <v>87</v>
      </c>
    </row>
    <row r="7" spans="1:6" x14ac:dyDescent="0.2">
      <c r="A7" s="8" t="s">
        <v>40</v>
      </c>
      <c r="B7" s="8" t="s">
        <v>41</v>
      </c>
      <c r="C7" s="8" t="s">
        <v>88</v>
      </c>
      <c r="D7" s="8" t="s">
        <v>77</v>
      </c>
      <c r="E7" s="8" t="s">
        <v>78</v>
      </c>
      <c r="F7" s="8" t="s">
        <v>89</v>
      </c>
    </row>
    <row r="8" spans="1:6" x14ac:dyDescent="0.2">
      <c r="A8" s="8" t="s">
        <v>43</v>
      </c>
      <c r="B8" s="8" t="s">
        <v>44</v>
      </c>
      <c r="C8" s="8" t="s">
        <v>88</v>
      </c>
      <c r="D8" s="8" t="s">
        <v>77</v>
      </c>
      <c r="E8" s="8" t="s">
        <v>80</v>
      </c>
      <c r="F8" s="8" t="s">
        <v>90</v>
      </c>
    </row>
    <row r="9" spans="1:6" x14ac:dyDescent="0.2">
      <c r="A9" s="8" t="s">
        <v>45</v>
      </c>
      <c r="B9" s="8" t="s">
        <v>46</v>
      </c>
      <c r="C9" s="8" t="s">
        <v>88</v>
      </c>
      <c r="D9" s="8" t="s">
        <v>82</v>
      </c>
      <c r="E9" s="8" t="s">
        <v>78</v>
      </c>
      <c r="F9" s="8" t="s">
        <v>91</v>
      </c>
    </row>
    <row r="10" spans="1:6" x14ac:dyDescent="0.2">
      <c r="A10" s="8" t="s">
        <v>47</v>
      </c>
      <c r="B10" s="8" t="s">
        <v>48</v>
      </c>
      <c r="C10" s="8" t="s">
        <v>92</v>
      </c>
      <c r="D10" s="8" t="s">
        <v>77</v>
      </c>
      <c r="E10" s="8" t="s">
        <v>78</v>
      </c>
      <c r="F10" s="8" t="s">
        <v>93</v>
      </c>
    </row>
    <row r="11" spans="1:6" x14ac:dyDescent="0.2">
      <c r="A11" s="8" t="s">
        <v>50</v>
      </c>
      <c r="B11" s="8" t="s">
        <v>51</v>
      </c>
      <c r="C11" s="8" t="s">
        <v>92</v>
      </c>
      <c r="D11" s="8" t="s">
        <v>77</v>
      </c>
      <c r="E11" s="8" t="s">
        <v>80</v>
      </c>
      <c r="F11" s="8" t="s">
        <v>94</v>
      </c>
    </row>
    <row r="12" spans="1:6" x14ac:dyDescent="0.2">
      <c r="A12" s="8" t="s">
        <v>52</v>
      </c>
      <c r="B12" s="8" t="s">
        <v>53</v>
      </c>
      <c r="C12" s="8" t="s">
        <v>92</v>
      </c>
      <c r="D12" s="8" t="s">
        <v>82</v>
      </c>
      <c r="E12" s="8" t="s">
        <v>78</v>
      </c>
      <c r="F12" s="8" t="s">
        <v>95</v>
      </c>
    </row>
    <row r="13" spans="1:6" x14ac:dyDescent="0.2">
      <c r="A13" s="8" t="s">
        <v>54</v>
      </c>
      <c r="B13" s="8" t="s">
        <v>55</v>
      </c>
      <c r="C13" s="8" t="s">
        <v>92</v>
      </c>
      <c r="D13" s="8" t="s">
        <v>84</v>
      </c>
      <c r="E13" s="8" t="s">
        <v>78</v>
      </c>
      <c r="F13" s="8" t="s">
        <v>96</v>
      </c>
    </row>
    <row r="14" spans="1:6" x14ac:dyDescent="0.2">
      <c r="A14" s="8" t="s">
        <v>56</v>
      </c>
      <c r="B14" s="8" t="s">
        <v>57</v>
      </c>
      <c r="C14" s="8" t="s">
        <v>97</v>
      </c>
      <c r="D14" s="8" t="s">
        <v>77</v>
      </c>
      <c r="E14" s="8" t="s">
        <v>78</v>
      </c>
      <c r="F14" s="8" t="s">
        <v>98</v>
      </c>
    </row>
    <row r="15" spans="1:6" x14ac:dyDescent="0.2">
      <c r="A15" s="8" t="s">
        <v>59</v>
      </c>
      <c r="B15" s="8" t="s">
        <v>60</v>
      </c>
      <c r="C15" s="8" t="s">
        <v>97</v>
      </c>
      <c r="D15" s="8" t="s">
        <v>77</v>
      </c>
      <c r="E15" s="8" t="s">
        <v>80</v>
      </c>
      <c r="F15" s="8" t="s">
        <v>99</v>
      </c>
    </row>
    <row r="16" spans="1:6" x14ac:dyDescent="0.2">
      <c r="A16" s="8" t="s">
        <v>61</v>
      </c>
      <c r="B16" s="8" t="s">
        <v>62</v>
      </c>
      <c r="C16" s="8" t="s">
        <v>97</v>
      </c>
      <c r="D16" s="8" t="s">
        <v>82</v>
      </c>
      <c r="E16" s="8" t="s">
        <v>78</v>
      </c>
      <c r="F16" s="8" t="s">
        <v>100</v>
      </c>
    </row>
    <row r="17" spans="1:6" x14ac:dyDescent="0.2">
      <c r="A17" s="8" t="s">
        <v>63</v>
      </c>
      <c r="B17" s="8" t="s">
        <v>64</v>
      </c>
      <c r="C17" s="8" t="s">
        <v>101</v>
      </c>
      <c r="D17" s="8" t="s">
        <v>77</v>
      </c>
      <c r="E17" s="8" t="s">
        <v>78</v>
      </c>
      <c r="F17" s="8" t="s">
        <v>102</v>
      </c>
    </row>
    <row r="18" spans="1:6" x14ac:dyDescent="0.2">
      <c r="A18" s="8" t="s">
        <v>66</v>
      </c>
      <c r="B18" s="8" t="s">
        <v>67</v>
      </c>
      <c r="C18" s="8" t="s">
        <v>101</v>
      </c>
      <c r="D18" s="8" t="s">
        <v>77</v>
      </c>
      <c r="E18" s="8" t="s">
        <v>80</v>
      </c>
      <c r="F18" s="8" t="s">
        <v>103</v>
      </c>
    </row>
    <row r="19" spans="1:6" x14ac:dyDescent="0.2">
      <c r="A19" s="8" t="s">
        <v>68</v>
      </c>
      <c r="B19" s="8" t="s">
        <v>69</v>
      </c>
      <c r="C19" s="8" t="s">
        <v>101</v>
      </c>
      <c r="D19" s="8" t="s">
        <v>82</v>
      </c>
      <c r="E19" s="8" t="s">
        <v>78</v>
      </c>
      <c r="F19" s="8" t="s">
        <v>104</v>
      </c>
    </row>
    <row r="20" spans="1:6" x14ac:dyDescent="0.2">
      <c r="A20" s="8" t="s">
        <v>70</v>
      </c>
      <c r="B20" s="8" t="s">
        <v>71</v>
      </c>
      <c r="C20" s="8" t="s">
        <v>101</v>
      </c>
      <c r="D20" s="8" t="s">
        <v>84</v>
      </c>
      <c r="E20" s="8" t="s">
        <v>78</v>
      </c>
      <c r="F20" s="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48" customWidth="1"/>
    <col min="3" max="3" width="60" customWidth="1"/>
  </cols>
  <sheetData>
    <row r="1" spans="1:3" x14ac:dyDescent="0.2">
      <c r="A1" s="9" t="s">
        <v>106</v>
      </c>
      <c r="B1" s="9" t="s">
        <v>107</v>
      </c>
      <c r="C1" s="9" t="s">
        <v>108</v>
      </c>
    </row>
    <row r="2" spans="1:3" x14ac:dyDescent="0.2">
      <c r="A2" t="s">
        <v>109</v>
      </c>
      <c r="B2" t="s">
        <v>110</v>
      </c>
      <c r="C2" t="s">
        <v>111</v>
      </c>
    </row>
    <row r="3" spans="1:3" x14ac:dyDescent="0.2">
      <c r="A3" t="s">
        <v>109</v>
      </c>
      <c r="B3" t="s">
        <v>112</v>
      </c>
      <c r="C3" t="s">
        <v>113</v>
      </c>
    </row>
    <row r="4" spans="1:3" x14ac:dyDescent="0.2">
      <c r="A4" t="s">
        <v>114</v>
      </c>
      <c r="B4" t="s">
        <v>115</v>
      </c>
      <c r="C4" t="s">
        <v>116</v>
      </c>
    </row>
    <row r="5" spans="1:3" x14ac:dyDescent="0.2">
      <c r="A5" t="s">
        <v>117</v>
      </c>
      <c r="B5" t="s">
        <v>118</v>
      </c>
      <c r="C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Cutoff Matrix</vt:lpstr>
      <vt:lpstr>Category Glossary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Mathur</cp:lastModifiedBy>
  <dcterms:created xsi:type="dcterms:W3CDTF">2026-04-07T10:56:49Z</dcterms:created>
  <dcterms:modified xsi:type="dcterms:W3CDTF">2026-04-07T10:56:49Z</dcterms:modified>
</cp:coreProperties>
</file>